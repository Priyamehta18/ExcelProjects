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13_ncr:1_{DB01C574-B4D3-424B-85EB-C5EE6843A993}" xr6:coauthVersionLast="47" xr6:coauthVersionMax="47" xr10:uidLastSave="{00000000-0000-0000-0000-000000000000}"/>
  <bookViews>
    <workbookView xWindow="-108" yWindow="-108" windowWidth="23256" windowHeight="12456" xr2:uid="{43186E24-DA75-4835-8FF4-B73E56CBAB17}"/>
  </bookViews>
  <sheets>
    <sheet name="AdmissionForm" sheetId="1" r:id="rId1"/>
    <sheet name="SavedDat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W4" i="1" s="1"/>
  <c r="H8" i="1"/>
  <c r="X4" i="1"/>
  <c r="V4" i="1"/>
  <c r="S4" i="1"/>
  <c r="R4" i="1"/>
  <c r="H10" i="1"/>
  <c r="H18" i="1" s="1"/>
  <c r="Y4" i="1" l="1"/>
  <c r="T4" i="1"/>
  <c r="U4" i="1"/>
</calcChain>
</file>

<file path=xl/sharedStrings.xml><?xml version="1.0" encoding="utf-8"?>
<sst xmlns="http://schemas.openxmlformats.org/spreadsheetml/2006/main" count="118" uniqueCount="71">
  <si>
    <t>Name</t>
  </si>
  <si>
    <t>Course</t>
  </si>
  <si>
    <t>Duration</t>
  </si>
  <si>
    <t>Fee</t>
  </si>
  <si>
    <t>Phone</t>
  </si>
  <si>
    <t>DOA</t>
  </si>
  <si>
    <t>Downpay</t>
  </si>
  <si>
    <t>Check Dues</t>
  </si>
  <si>
    <t>ADMISSION FORM</t>
  </si>
  <si>
    <t>COURSE</t>
  </si>
  <si>
    <t xml:space="preserve">DURATION </t>
  </si>
  <si>
    <t>FEE</t>
  </si>
  <si>
    <t>DCA</t>
  </si>
  <si>
    <t>3 Months</t>
  </si>
  <si>
    <t>DTP</t>
  </si>
  <si>
    <t>6 Months</t>
  </si>
  <si>
    <t>TALLY</t>
  </si>
  <si>
    <t>2 Months</t>
  </si>
  <si>
    <t>ADCA</t>
  </si>
  <si>
    <t>CARDLEVEL</t>
  </si>
  <si>
    <t>CHIPLEVEL</t>
  </si>
  <si>
    <t>12 Months</t>
  </si>
  <si>
    <t>A++</t>
  </si>
  <si>
    <t>CCNA</t>
  </si>
  <si>
    <t>CCNP</t>
  </si>
  <si>
    <t>CCIE</t>
  </si>
  <si>
    <t>N+</t>
  </si>
  <si>
    <t>WINDOWS</t>
  </si>
  <si>
    <t>LINUX</t>
  </si>
  <si>
    <t>4 Months</t>
  </si>
  <si>
    <t>VMWARE</t>
  </si>
  <si>
    <t>UNIX</t>
  </si>
  <si>
    <t>MYSQL</t>
  </si>
  <si>
    <t>MONGODB</t>
  </si>
  <si>
    <t>1 Month</t>
  </si>
  <si>
    <t>MS-ACCESS</t>
  </si>
  <si>
    <t>ORACLE</t>
  </si>
  <si>
    <t>C</t>
  </si>
  <si>
    <t>C++</t>
  </si>
  <si>
    <t>PYTHON</t>
  </si>
  <si>
    <t>JAVA</t>
  </si>
  <si>
    <t>JS</t>
  </si>
  <si>
    <t>PHP</t>
  </si>
  <si>
    <t>CEH</t>
  </si>
  <si>
    <t>OSCP</t>
  </si>
  <si>
    <t>FIREWALL</t>
  </si>
  <si>
    <t>DE</t>
  </si>
  <si>
    <t>DS</t>
  </si>
  <si>
    <t>DA</t>
  </si>
  <si>
    <t>ANSIBLE</t>
  </si>
  <si>
    <t>MA</t>
  </si>
  <si>
    <t>AWS</t>
  </si>
  <si>
    <t>9 Months</t>
  </si>
  <si>
    <t>Naincy</t>
  </si>
  <si>
    <t>Column2</t>
  </si>
  <si>
    <t>Column3</t>
  </si>
  <si>
    <t>Column4</t>
  </si>
  <si>
    <t>Column5</t>
  </si>
  <si>
    <t>Column6</t>
  </si>
  <si>
    <t>Column7</t>
  </si>
  <si>
    <t>Column8</t>
  </si>
  <si>
    <t>name</t>
  </si>
  <si>
    <t>Manya</t>
  </si>
  <si>
    <t>Shanvi</t>
  </si>
  <si>
    <t>Priti</t>
  </si>
  <si>
    <t>Sanya</t>
  </si>
  <si>
    <t>Priya</t>
  </si>
  <si>
    <t>Menny</t>
  </si>
  <si>
    <t>Naina</t>
  </si>
  <si>
    <t>Shanti</t>
  </si>
  <si>
    <t>Lenny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</si>
</sst>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6"/>
      <color theme="1"/>
      <name val="Algerian"/>
      <family val="5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0"/>
      <name val="Algerian"/>
      <family val="5"/>
    </font>
    <font>
      <b/>
      <sz val="26"/>
      <color theme="0"/>
      <name val="Baskerville Old Face"/>
      <family val="1"/>
    </font>
    <font>
      <sz val="16"/>
      <color theme="0"/>
      <name val="Algerian"/>
      <family val="5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/>
    <xf numFmtId="0" fontId="3" fillId="0" borderId="0" xfId="0" applyFont="1"/>
    <xf numFmtId="0" fontId="3" fillId="2" borderId="2" xfId="0" applyFont="1" applyFill="1" applyBorder="1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2" xfId="0" applyBorder="1"/>
    <xf numFmtId="14" fontId="1" fillId="5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0" fillId="0" borderId="12" xfId="0" applyNumberFormat="1" applyBorder="1"/>
    <xf numFmtId="0" fontId="0" fillId="2" borderId="0" xfId="0" applyFill="1"/>
    <xf numFmtId="0" fontId="1" fillId="2" borderId="10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6" fillId="6" borderId="15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14" fontId="6" fillId="6" borderId="16" xfId="0" applyNumberFormat="1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14" fontId="0" fillId="0" borderId="19" xfId="0" applyNumberFormat="1" applyBorder="1"/>
    <xf numFmtId="0" fontId="0" fillId="0" borderId="20" xfId="0" applyBorder="1"/>
    <xf numFmtId="0" fontId="5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lgerian"/>
        <family val="5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19</xdr:row>
      <xdr:rowOff>30480</xdr:rowOff>
    </xdr:from>
    <xdr:to>
      <xdr:col>8</xdr:col>
      <xdr:colOff>15240</xdr:colOff>
      <xdr:row>19</xdr:row>
      <xdr:rowOff>495300</xdr:rowOff>
    </xdr:to>
    <xdr:sp macro="[0]!happy_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05B3F1-F516-2E3E-1BB8-9985D3B2012A}"/>
            </a:ext>
          </a:extLst>
        </xdr:cNvPr>
        <xdr:cNvSpPr/>
      </xdr:nvSpPr>
      <xdr:spPr>
        <a:xfrm>
          <a:off x="2933700" y="4008120"/>
          <a:ext cx="3352800" cy="46482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 kern="1200">
              <a:latin typeface="Algerian" panose="04020705040A02060702" pitchFamily="82" charset="0"/>
            </a:rPr>
            <a:t>SAVE</a:t>
          </a:r>
          <a:r>
            <a:rPr lang="en-IN" sz="2000" b="1" kern="1200" baseline="0">
              <a:latin typeface="Algerian" panose="04020705040A02060702" pitchFamily="82" charset="0"/>
            </a:rPr>
            <a:t>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91D1E2-11BA-479B-B0DE-A61E3BEABAE6}" name="Table1" displayName="Table1" ref="A1:H22" totalsRowShown="0" headerRowDxfId="11" headerRowBorderDxfId="10" tableBorderDxfId="9" totalsRowBorderDxfId="8">
  <autoFilter ref="A1:H22" xr:uid="{BB91D1E2-11BA-479B-B0DE-A61E3BEABAE6}"/>
  <tableColumns count="8">
    <tableColumn id="1" xr3:uid="{EFCA120E-31DC-49FF-9B82-AD1AFA485259}" name="name" dataDxfId="7"/>
    <tableColumn id="2" xr3:uid="{61F4870A-3B13-4C47-BE1E-79FC7700BF5D}" name="Column2" dataDxfId="6"/>
    <tableColumn id="3" xr3:uid="{207F79E9-1BD9-44C6-9D28-2AB17AB38981}" name="Column3" dataDxfId="5"/>
    <tableColumn id="4" xr3:uid="{66E9D121-44FE-4DE9-B9E3-6B2FA9C45703}" name="Column4" dataDxfId="4"/>
    <tableColumn id="5" xr3:uid="{74D73853-9A1A-4D5F-9DDA-3C1F5E665893}" name="Column5" dataDxfId="3"/>
    <tableColumn id="6" xr3:uid="{FB21A426-A93B-4C3E-97EF-039BB73D5BF6}" name="Column6" dataDxfId="2"/>
    <tableColumn id="7" xr3:uid="{7E5FED6F-6A92-429A-83B1-62E2247E76C1}" name="Column7" dataDxfId="1"/>
    <tableColumn id="8" xr3:uid="{476A2805-B5F3-4F8C-9F3A-D92658BB61AA}" name="Column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E0153-85A6-49E0-823B-65B6B8CE29C2}">
  <dimension ref="C1:AA39"/>
  <sheetViews>
    <sheetView showGridLines="0" tabSelected="1" workbookViewId="0">
      <selection activeCell="H4" sqref="H4"/>
    </sheetView>
  </sheetViews>
  <sheetFormatPr defaultRowHeight="14.4" x14ac:dyDescent="0.3"/>
  <cols>
    <col min="4" max="4" width="36.33203125" customWidth="1"/>
    <col min="5" max="5" width="7.6640625" customWidth="1"/>
    <col min="6" max="6" width="18.44140625" customWidth="1"/>
    <col min="7" max="7" width="1.6640625" customWidth="1"/>
    <col min="8" max="8" width="29.33203125" customWidth="1"/>
    <col min="9" max="9" width="8.109375" customWidth="1"/>
    <col min="10" max="10" width="56.21875" customWidth="1"/>
    <col min="12" max="12" width="4.77734375" customWidth="1"/>
    <col min="20" max="20" width="8.88671875" customWidth="1"/>
    <col min="22" max="22" width="23.77734375" customWidth="1"/>
    <col min="23" max="23" width="10.33203125" bestFit="1" customWidth="1"/>
    <col min="24" max="24" width="19.33203125" customWidth="1"/>
  </cols>
  <sheetData>
    <row r="1" spans="3:27" ht="5.4" customHeight="1" thickBot="1" x14ac:dyDescent="0.65">
      <c r="E1" s="8"/>
      <c r="F1" s="8"/>
      <c r="G1" s="8"/>
      <c r="H1" s="8"/>
    </row>
    <row r="2" spans="3:27" ht="48.6" customHeight="1" thickBot="1" x14ac:dyDescent="0.65">
      <c r="C2" s="7"/>
      <c r="E2" s="9"/>
      <c r="F2" s="28" t="s">
        <v>8</v>
      </c>
      <c r="G2" s="29"/>
      <c r="H2" s="30"/>
      <c r="I2" s="1"/>
    </row>
    <row r="3" spans="3:27" ht="24" customHeight="1" thickBot="1" x14ac:dyDescent="0.35">
      <c r="E3" s="2"/>
      <c r="F3" s="17"/>
      <c r="G3" s="16"/>
      <c r="H3" s="17"/>
      <c r="I3" s="3"/>
      <c r="W3" s="14"/>
    </row>
    <row r="4" spans="3:27" ht="24" customHeight="1" thickBot="1" x14ac:dyDescent="0.35">
      <c r="E4" s="2"/>
      <c r="F4" s="10" t="s">
        <v>0</v>
      </c>
      <c r="G4" s="16"/>
      <c r="H4" s="11"/>
      <c r="I4" s="3"/>
      <c r="R4">
        <f>H4</f>
        <v>0</v>
      </c>
      <c r="S4">
        <f>H6</f>
        <v>0</v>
      </c>
      <c r="T4" t="str">
        <f>H8</f>
        <v/>
      </c>
      <c r="U4" t="str">
        <f>H10</f>
        <v/>
      </c>
      <c r="V4">
        <f>H12</f>
        <v>0</v>
      </c>
      <c r="W4" s="14">
        <f ca="1">H14</f>
        <v>45645</v>
      </c>
      <c r="X4">
        <f>H16</f>
        <v>0</v>
      </c>
      <c r="Y4" t="str">
        <f>H18</f>
        <v xml:space="preserve"> </v>
      </c>
    </row>
    <row r="5" spans="3:27" ht="15" thickBot="1" x14ac:dyDescent="0.35">
      <c r="E5" s="2"/>
      <c r="F5" s="16"/>
      <c r="G5" s="16"/>
      <c r="H5" s="16"/>
      <c r="I5" s="3"/>
      <c r="Y5" t="s">
        <v>9</v>
      </c>
      <c r="Z5" t="s">
        <v>10</v>
      </c>
      <c r="AA5" t="s">
        <v>11</v>
      </c>
    </row>
    <row r="6" spans="3:27" ht="24" customHeight="1" thickBot="1" x14ac:dyDescent="0.35">
      <c r="E6" s="2"/>
      <c r="F6" s="10" t="s">
        <v>1</v>
      </c>
      <c r="G6" s="16"/>
      <c r="H6" s="11"/>
      <c r="I6" s="3"/>
      <c r="Y6" t="s">
        <v>12</v>
      </c>
      <c r="Z6" t="s">
        <v>13</v>
      </c>
      <c r="AA6">
        <v>6000</v>
      </c>
    </row>
    <row r="7" spans="3:27" ht="15" thickBot="1" x14ac:dyDescent="0.35">
      <c r="E7" s="2"/>
      <c r="F7" s="16"/>
      <c r="G7" s="16"/>
      <c r="H7" s="16"/>
      <c r="I7" s="3"/>
      <c r="Y7" t="s">
        <v>14</v>
      </c>
      <c r="Z7" t="s">
        <v>15</v>
      </c>
      <c r="AA7">
        <v>6000</v>
      </c>
    </row>
    <row r="8" spans="3:27" ht="24" customHeight="1" thickBot="1" x14ac:dyDescent="0.35">
      <c r="E8" s="2"/>
      <c r="F8" s="10" t="s">
        <v>2</v>
      </c>
      <c r="G8" s="16"/>
      <c r="H8" s="11" t="str">
        <f>IF($H$6&lt;&gt;"",VLOOKUP($H$6,Y6:AA39,2,FALSE),"")</f>
        <v/>
      </c>
      <c r="I8" s="3"/>
      <c r="Y8" t="s">
        <v>16</v>
      </c>
      <c r="Z8" t="s">
        <v>17</v>
      </c>
      <c r="AA8">
        <v>6000</v>
      </c>
    </row>
    <row r="9" spans="3:27" ht="15" thickBot="1" x14ac:dyDescent="0.35">
      <c r="E9" s="2"/>
      <c r="F9" s="16"/>
      <c r="G9" s="16"/>
      <c r="H9" s="16"/>
      <c r="I9" s="3"/>
      <c r="Y9" t="s">
        <v>18</v>
      </c>
      <c r="Z9" t="s">
        <v>15</v>
      </c>
      <c r="AA9">
        <v>8000</v>
      </c>
    </row>
    <row r="10" spans="3:27" ht="24" customHeight="1" thickBot="1" x14ac:dyDescent="0.35">
      <c r="E10" s="2"/>
      <c r="F10" s="10" t="s">
        <v>3</v>
      </c>
      <c r="G10" s="16"/>
      <c r="H10" s="11" t="str">
        <f>IF($H$6&lt;&gt;"",VLOOKUP($H$6,Y5:AA39,3,FALSE),"")</f>
        <v/>
      </c>
      <c r="I10" s="3"/>
      <c r="Y10" t="s">
        <v>19</v>
      </c>
      <c r="Z10" t="s">
        <v>15</v>
      </c>
      <c r="AA10">
        <v>10000</v>
      </c>
    </row>
    <row r="11" spans="3:27" ht="15" thickBot="1" x14ac:dyDescent="0.35">
      <c r="E11" s="2"/>
      <c r="F11" s="16"/>
      <c r="G11" s="16"/>
      <c r="H11" s="16"/>
      <c r="I11" s="3"/>
      <c r="Y11" t="s">
        <v>20</v>
      </c>
      <c r="Z11" t="s">
        <v>21</v>
      </c>
      <c r="AA11">
        <v>15000</v>
      </c>
    </row>
    <row r="12" spans="3:27" ht="24" customHeight="1" thickBot="1" x14ac:dyDescent="0.35">
      <c r="E12" s="2"/>
      <c r="F12" s="10" t="s">
        <v>4</v>
      </c>
      <c r="G12" s="16"/>
      <c r="H12" s="11"/>
      <c r="I12" s="3"/>
      <c r="Y12" t="s">
        <v>22</v>
      </c>
      <c r="Z12" t="s">
        <v>15</v>
      </c>
      <c r="AA12">
        <v>15000</v>
      </c>
    </row>
    <row r="13" spans="3:27" ht="15" thickBot="1" x14ac:dyDescent="0.35">
      <c r="E13" s="2"/>
      <c r="F13" s="16"/>
      <c r="G13" s="16"/>
      <c r="H13" s="16"/>
      <c r="I13" s="3"/>
      <c r="Y13" t="s">
        <v>23</v>
      </c>
      <c r="Z13" t="s">
        <v>15</v>
      </c>
      <c r="AA13">
        <v>12000</v>
      </c>
    </row>
    <row r="14" spans="3:27" ht="24" customHeight="1" thickBot="1" x14ac:dyDescent="0.35">
      <c r="E14" s="2"/>
      <c r="F14" s="10" t="s">
        <v>5</v>
      </c>
      <c r="G14" s="16"/>
      <c r="H14" s="13">
        <f ca="1">TODAY()</f>
        <v>45645</v>
      </c>
      <c r="I14" s="3"/>
      <c r="Y14" t="s">
        <v>24</v>
      </c>
      <c r="Z14" t="s">
        <v>15</v>
      </c>
      <c r="AA14">
        <v>20000</v>
      </c>
    </row>
    <row r="15" spans="3:27" ht="15" thickBot="1" x14ac:dyDescent="0.35">
      <c r="E15" s="2"/>
      <c r="F15" s="16"/>
      <c r="G15" s="16"/>
      <c r="H15" s="16"/>
      <c r="I15" s="3"/>
      <c r="Y15" t="s">
        <v>25</v>
      </c>
      <c r="Z15" t="s">
        <v>21</v>
      </c>
      <c r="AA15">
        <v>30000</v>
      </c>
    </row>
    <row r="16" spans="3:27" ht="24" customHeight="1" thickBot="1" x14ac:dyDescent="0.35">
      <c r="E16" s="2"/>
      <c r="F16" s="10" t="s">
        <v>6</v>
      </c>
      <c r="G16" s="16"/>
      <c r="H16" s="11"/>
      <c r="I16" s="3"/>
      <c r="Y16" t="s">
        <v>26</v>
      </c>
      <c r="Z16" t="s">
        <v>15</v>
      </c>
      <c r="AA16">
        <v>35000</v>
      </c>
    </row>
    <row r="17" spans="5:27" ht="15" thickBot="1" x14ac:dyDescent="0.35">
      <c r="E17" s="2"/>
      <c r="F17" s="16"/>
      <c r="G17" s="16"/>
      <c r="H17" s="16"/>
      <c r="I17" s="3"/>
      <c r="Y17" t="s">
        <v>27</v>
      </c>
      <c r="Z17" t="s">
        <v>15</v>
      </c>
      <c r="AA17">
        <v>20000</v>
      </c>
    </row>
    <row r="18" spans="5:27" ht="24" customHeight="1" thickBot="1" x14ac:dyDescent="0.35">
      <c r="E18" s="2"/>
      <c r="F18" s="10" t="s">
        <v>7</v>
      </c>
      <c r="G18" s="16"/>
      <c r="H18" s="11" t="str">
        <f>IF(H16&lt;&gt;"",$H$10-H16," ")</f>
        <v xml:space="preserve"> </v>
      </c>
      <c r="I18" s="3"/>
      <c r="Y18" t="s">
        <v>28</v>
      </c>
      <c r="Z18" t="s">
        <v>29</v>
      </c>
      <c r="AA18">
        <v>18000</v>
      </c>
    </row>
    <row r="19" spans="5:27" x14ac:dyDescent="0.3">
      <c r="E19" s="2"/>
      <c r="F19" s="16"/>
      <c r="G19" s="16"/>
      <c r="H19" s="16"/>
      <c r="I19" s="3"/>
      <c r="Y19" t="s">
        <v>30</v>
      </c>
      <c r="Z19" t="s">
        <v>13</v>
      </c>
      <c r="AA19">
        <v>20000</v>
      </c>
    </row>
    <row r="20" spans="5:27" ht="57.6" customHeight="1" thickBot="1" x14ac:dyDescent="0.35">
      <c r="E20" s="4"/>
      <c r="F20" s="5"/>
      <c r="G20" s="5"/>
      <c r="H20" s="5"/>
      <c r="I20" s="6"/>
      <c r="Y20" t="s">
        <v>31</v>
      </c>
      <c r="Z20" t="s">
        <v>15</v>
      </c>
      <c r="AA20">
        <v>18000</v>
      </c>
    </row>
    <row r="21" spans="5:27" x14ac:dyDescent="0.3">
      <c r="Y21" t="s">
        <v>32</v>
      </c>
      <c r="Z21" t="s">
        <v>17</v>
      </c>
      <c r="AA21">
        <v>15000</v>
      </c>
    </row>
    <row r="22" spans="5:27" x14ac:dyDescent="0.3">
      <c r="Y22" t="s">
        <v>33</v>
      </c>
      <c r="Z22" t="s">
        <v>34</v>
      </c>
      <c r="AA22">
        <v>15000</v>
      </c>
    </row>
    <row r="23" spans="5:27" x14ac:dyDescent="0.3">
      <c r="Y23" t="s">
        <v>35</v>
      </c>
      <c r="Z23" t="s">
        <v>34</v>
      </c>
      <c r="AA23">
        <v>8000</v>
      </c>
    </row>
    <row r="24" spans="5:27" x14ac:dyDescent="0.3">
      <c r="Y24" t="s">
        <v>36</v>
      </c>
      <c r="Z24" t="s">
        <v>17</v>
      </c>
      <c r="AA24">
        <v>8000</v>
      </c>
    </row>
    <row r="25" spans="5:27" x14ac:dyDescent="0.3">
      <c r="Y25" t="s">
        <v>37</v>
      </c>
      <c r="Z25" t="s">
        <v>29</v>
      </c>
      <c r="AA25">
        <v>15000</v>
      </c>
    </row>
    <row r="26" spans="5:27" x14ac:dyDescent="0.3">
      <c r="Y26" t="s">
        <v>38</v>
      </c>
      <c r="Z26" t="s">
        <v>13</v>
      </c>
      <c r="AA26">
        <v>18000</v>
      </c>
    </row>
    <row r="27" spans="5:27" x14ac:dyDescent="0.3">
      <c r="Y27" t="s">
        <v>39</v>
      </c>
      <c r="Z27" t="s">
        <v>13</v>
      </c>
      <c r="AA27">
        <v>10000</v>
      </c>
    </row>
    <row r="28" spans="5:27" x14ac:dyDescent="0.3">
      <c r="Y28" t="s">
        <v>40</v>
      </c>
      <c r="Z28" t="s">
        <v>29</v>
      </c>
      <c r="AA28">
        <v>12000</v>
      </c>
    </row>
    <row r="29" spans="5:27" x14ac:dyDescent="0.3">
      <c r="Y29" t="s">
        <v>41</v>
      </c>
      <c r="Z29" t="s">
        <v>29</v>
      </c>
      <c r="AA29">
        <v>15000</v>
      </c>
    </row>
    <row r="30" spans="5:27" x14ac:dyDescent="0.3">
      <c r="Y30" t="s">
        <v>42</v>
      </c>
      <c r="Z30" t="s">
        <v>17</v>
      </c>
      <c r="AA30">
        <v>10000</v>
      </c>
    </row>
    <row r="31" spans="5:27" x14ac:dyDescent="0.3">
      <c r="Y31" t="s">
        <v>43</v>
      </c>
      <c r="Z31" t="s">
        <v>29</v>
      </c>
      <c r="AA31">
        <v>12000</v>
      </c>
    </row>
    <row r="32" spans="5:27" x14ac:dyDescent="0.3">
      <c r="Y32" t="s">
        <v>44</v>
      </c>
      <c r="Z32" t="s">
        <v>29</v>
      </c>
      <c r="AA32">
        <v>20000</v>
      </c>
    </row>
    <row r="33" spans="25:27" x14ac:dyDescent="0.3">
      <c r="Y33" t="s">
        <v>45</v>
      </c>
      <c r="Z33" t="s">
        <v>15</v>
      </c>
      <c r="AA33">
        <v>15000</v>
      </c>
    </row>
    <row r="34" spans="25:27" x14ac:dyDescent="0.3">
      <c r="Y34" t="s">
        <v>46</v>
      </c>
      <c r="Z34" t="s">
        <v>21</v>
      </c>
      <c r="AA34">
        <v>12000</v>
      </c>
    </row>
    <row r="35" spans="25:27" x14ac:dyDescent="0.3">
      <c r="Y35" t="s">
        <v>47</v>
      </c>
      <c r="Z35" t="s">
        <v>15</v>
      </c>
      <c r="AA35">
        <v>25000</v>
      </c>
    </row>
    <row r="36" spans="25:27" x14ac:dyDescent="0.3">
      <c r="Y36" t="s">
        <v>48</v>
      </c>
      <c r="Z36" t="s">
        <v>15</v>
      </c>
      <c r="AA36">
        <v>25000</v>
      </c>
    </row>
    <row r="37" spans="25:27" x14ac:dyDescent="0.3">
      <c r="Y37" t="s">
        <v>49</v>
      </c>
      <c r="Z37" t="s">
        <v>15</v>
      </c>
      <c r="AA37">
        <v>20000</v>
      </c>
    </row>
    <row r="38" spans="25:27" x14ac:dyDescent="0.3">
      <c r="Y38" t="s">
        <v>50</v>
      </c>
      <c r="Z38" t="s">
        <v>29</v>
      </c>
      <c r="AA38">
        <v>19000</v>
      </c>
    </row>
    <row r="39" spans="25:27" x14ac:dyDescent="0.3">
      <c r="Y39" t="s">
        <v>51</v>
      </c>
      <c r="Z39" t="s">
        <v>52</v>
      </c>
      <c r="AA39">
        <v>18000</v>
      </c>
    </row>
  </sheetData>
  <mergeCells count="1">
    <mergeCell ref="F2:H2"/>
  </mergeCells>
  <dataValidations count="2">
    <dataValidation type="list" allowBlank="1" showInputMessage="1" showErrorMessage="1" sqref="H6" xr:uid="{5BBC4B0C-26FF-47D7-B69A-E0B0A63521C8}">
      <formula1>$Y$6:$Y$39</formula1>
    </dataValidation>
    <dataValidation type="textLength" operator="equal" allowBlank="1" showInputMessage="1" showErrorMessage="1" sqref="H12" xr:uid="{7B19297A-19FD-46A5-8FC4-9825EFEA4E46}">
      <formula1>10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33552-F8AA-4B98-9215-F630C9325407}">
  <dimension ref="A1:H22"/>
  <sheetViews>
    <sheetView workbookViewId="0">
      <selection activeCell="J10" sqref="J10"/>
    </sheetView>
  </sheetViews>
  <sheetFormatPr defaultRowHeight="14.4" x14ac:dyDescent="0.3"/>
  <cols>
    <col min="1" max="1" width="16.5546875" customWidth="1"/>
    <col min="2" max="2" width="18" customWidth="1"/>
    <col min="3" max="3" width="21.6640625" customWidth="1"/>
    <col min="4" max="4" width="16.5546875" customWidth="1"/>
    <col min="5" max="5" width="18.21875" customWidth="1"/>
    <col min="6" max="6" width="16.5546875" customWidth="1"/>
    <col min="7" max="7" width="24.21875" customWidth="1"/>
    <col min="8" max="8" width="27.21875" customWidth="1"/>
  </cols>
  <sheetData>
    <row r="1" spans="1:8" ht="22.8" x14ac:dyDescent="0.3">
      <c r="A1" s="20" t="s">
        <v>61</v>
      </c>
      <c r="B1" s="21" t="s">
        <v>54</v>
      </c>
      <c r="C1" s="21" t="s">
        <v>55</v>
      </c>
      <c r="D1" s="21" t="s">
        <v>56</v>
      </c>
      <c r="E1" s="21" t="s">
        <v>57</v>
      </c>
      <c r="F1" s="22" t="s">
        <v>58</v>
      </c>
      <c r="G1" s="21" t="s">
        <v>59</v>
      </c>
      <c r="H1" s="23" t="s">
        <v>60</v>
      </c>
    </row>
    <row r="2" spans="1:8" x14ac:dyDescent="0.3">
      <c r="A2" s="18" t="s">
        <v>53</v>
      </c>
      <c r="B2" s="12" t="s">
        <v>18</v>
      </c>
      <c r="C2" s="12" t="s">
        <v>15</v>
      </c>
      <c r="D2" s="12">
        <v>8000</v>
      </c>
      <c r="E2" s="12">
        <v>8776656466</v>
      </c>
      <c r="F2" s="15">
        <v>45644</v>
      </c>
      <c r="G2" s="12">
        <v>5000</v>
      </c>
      <c r="H2" s="19">
        <v>3000</v>
      </c>
    </row>
    <row r="3" spans="1:8" x14ac:dyDescent="0.3">
      <c r="A3" s="18" t="s">
        <v>62</v>
      </c>
      <c r="B3" s="12" t="s">
        <v>19</v>
      </c>
      <c r="C3" s="12" t="s">
        <v>15</v>
      </c>
      <c r="D3" s="12">
        <v>10000</v>
      </c>
      <c r="E3" s="12">
        <v>9876767478</v>
      </c>
      <c r="F3" s="15">
        <v>45645</v>
      </c>
      <c r="G3" s="12">
        <v>9000</v>
      </c>
      <c r="H3" s="19">
        <v>1000</v>
      </c>
    </row>
    <row r="4" spans="1:8" x14ac:dyDescent="0.3">
      <c r="A4" s="18" t="s">
        <v>63</v>
      </c>
      <c r="B4" s="12" t="s">
        <v>23</v>
      </c>
      <c r="C4" s="12" t="s">
        <v>15</v>
      </c>
      <c r="D4" s="12">
        <v>12000</v>
      </c>
      <c r="E4" s="12">
        <v>8784746368</v>
      </c>
      <c r="F4" s="15">
        <v>45645</v>
      </c>
      <c r="G4" s="12">
        <v>8000</v>
      </c>
      <c r="H4" s="19">
        <v>4000</v>
      </c>
    </row>
    <row r="5" spans="1:8" x14ac:dyDescent="0.3">
      <c r="A5" s="18" t="s">
        <v>66</v>
      </c>
      <c r="B5" s="12" t="s">
        <v>22</v>
      </c>
      <c r="C5" s="12" t="s">
        <v>15</v>
      </c>
      <c r="D5" s="12">
        <v>15000</v>
      </c>
      <c r="E5" s="12">
        <v>9868767545</v>
      </c>
      <c r="F5" s="15">
        <v>45645</v>
      </c>
      <c r="G5" s="12">
        <v>10000</v>
      </c>
      <c r="H5" s="19">
        <v>5000</v>
      </c>
    </row>
    <row r="6" spans="1:8" x14ac:dyDescent="0.3">
      <c r="A6" s="18" t="s">
        <v>64</v>
      </c>
      <c r="B6" s="12" t="s">
        <v>40</v>
      </c>
      <c r="C6" s="12" t="s">
        <v>29</v>
      </c>
      <c r="D6" s="12">
        <v>12000</v>
      </c>
      <c r="E6" s="12">
        <v>9788655435</v>
      </c>
      <c r="F6" s="15">
        <v>45645</v>
      </c>
      <c r="G6" s="12">
        <v>8000</v>
      </c>
      <c r="H6" s="19">
        <v>4000</v>
      </c>
    </row>
    <row r="7" spans="1:8" x14ac:dyDescent="0.3">
      <c r="A7" s="18" t="s">
        <v>65</v>
      </c>
      <c r="B7" s="12" t="s">
        <v>22</v>
      </c>
      <c r="C7" s="12" t="s">
        <v>15</v>
      </c>
      <c r="D7" s="12">
        <v>15000</v>
      </c>
      <c r="E7" s="12">
        <v>8767654536</v>
      </c>
      <c r="F7" s="15">
        <v>45645</v>
      </c>
      <c r="G7" s="12">
        <v>5000</v>
      </c>
      <c r="H7" s="19">
        <v>10000</v>
      </c>
    </row>
    <row r="8" spans="1:8" x14ac:dyDescent="0.3">
      <c r="A8" s="18" t="s">
        <v>67</v>
      </c>
      <c r="B8" s="12" t="s">
        <v>30</v>
      </c>
      <c r="C8" s="12" t="s">
        <v>13</v>
      </c>
      <c r="D8" s="12">
        <v>20000</v>
      </c>
      <c r="E8" s="12">
        <v>9878765448</v>
      </c>
      <c r="F8" s="15">
        <v>45645</v>
      </c>
      <c r="G8" s="12">
        <v>19000</v>
      </c>
      <c r="H8" s="19">
        <v>1000</v>
      </c>
    </row>
    <row r="9" spans="1:8" x14ac:dyDescent="0.3">
      <c r="A9" s="18" t="s">
        <v>68</v>
      </c>
      <c r="B9" s="12" t="s">
        <v>45</v>
      </c>
      <c r="C9" s="12" t="s">
        <v>15</v>
      </c>
      <c r="D9" s="12">
        <v>15000</v>
      </c>
      <c r="E9" s="12">
        <v>9887867660</v>
      </c>
      <c r="F9" s="15">
        <v>45645</v>
      </c>
      <c r="G9" s="12">
        <v>9000</v>
      </c>
      <c r="H9" s="19">
        <v>6000</v>
      </c>
    </row>
    <row r="10" spans="1:8" x14ac:dyDescent="0.3">
      <c r="A10" s="18" t="s">
        <v>69</v>
      </c>
      <c r="B10" s="12" t="s">
        <v>35</v>
      </c>
      <c r="C10" s="12" t="s">
        <v>34</v>
      </c>
      <c r="D10" s="12">
        <v>8000</v>
      </c>
      <c r="E10" s="12">
        <v>9878786760</v>
      </c>
      <c r="F10" s="15">
        <v>45645</v>
      </c>
      <c r="G10" s="12">
        <v>5000</v>
      </c>
      <c r="H10" s="19">
        <v>3000</v>
      </c>
    </row>
    <row r="11" spans="1:8" x14ac:dyDescent="0.3">
      <c r="A11" s="18" t="s">
        <v>70</v>
      </c>
      <c r="B11" s="12" t="s">
        <v>47</v>
      </c>
      <c r="C11" s="12" t="s">
        <v>15</v>
      </c>
      <c r="D11" s="12">
        <v>25000</v>
      </c>
      <c r="E11" s="12">
        <v>7686765588</v>
      </c>
      <c r="F11" s="15">
        <v>45645</v>
      </c>
      <c r="G11" s="12">
        <v>20000</v>
      </c>
      <c r="H11" s="19">
        <v>5000</v>
      </c>
    </row>
    <row r="12" spans="1:8" x14ac:dyDescent="0.3">
      <c r="A12" s="18"/>
      <c r="B12" s="12"/>
      <c r="C12" s="12"/>
      <c r="D12" s="12"/>
      <c r="E12" s="12"/>
      <c r="F12" s="15"/>
      <c r="G12" s="12"/>
      <c r="H12" s="19"/>
    </row>
    <row r="13" spans="1:8" x14ac:dyDescent="0.3">
      <c r="A13" s="18"/>
      <c r="B13" s="12"/>
      <c r="C13" s="12"/>
      <c r="D13" s="12"/>
      <c r="E13" s="12"/>
      <c r="F13" s="15"/>
      <c r="G13" s="12"/>
      <c r="H13" s="19"/>
    </row>
    <row r="14" spans="1:8" x14ac:dyDescent="0.3">
      <c r="A14" s="18"/>
      <c r="B14" s="12"/>
      <c r="C14" s="12"/>
      <c r="D14" s="12"/>
      <c r="E14" s="12"/>
      <c r="F14" s="15"/>
      <c r="G14" s="12"/>
      <c r="H14" s="19"/>
    </row>
    <row r="15" spans="1:8" x14ac:dyDescent="0.3">
      <c r="A15" s="18"/>
      <c r="B15" s="12"/>
      <c r="C15" s="12"/>
      <c r="D15" s="12"/>
      <c r="E15" s="12"/>
      <c r="F15" s="15"/>
      <c r="G15" s="12"/>
      <c r="H15" s="19"/>
    </row>
    <row r="16" spans="1:8" x14ac:dyDescent="0.3">
      <c r="A16" s="18"/>
      <c r="B16" s="12"/>
      <c r="C16" s="12"/>
      <c r="D16" s="12"/>
      <c r="E16" s="12"/>
      <c r="F16" s="15"/>
      <c r="G16" s="12"/>
      <c r="H16" s="19"/>
    </row>
    <row r="17" spans="1:8" x14ac:dyDescent="0.3">
      <c r="A17" s="18"/>
      <c r="B17" s="12"/>
      <c r="C17" s="12"/>
      <c r="D17" s="12"/>
      <c r="E17" s="12"/>
      <c r="F17" s="15"/>
      <c r="G17" s="12"/>
      <c r="H17" s="19"/>
    </row>
    <row r="18" spans="1:8" x14ac:dyDescent="0.3">
      <c r="A18" s="18"/>
      <c r="B18" s="12"/>
      <c r="C18" s="12"/>
      <c r="D18" s="12"/>
      <c r="E18" s="12"/>
      <c r="F18" s="15"/>
      <c r="G18" s="12"/>
      <c r="H18" s="19"/>
    </row>
    <row r="19" spans="1:8" x14ac:dyDescent="0.3">
      <c r="A19" s="18"/>
      <c r="B19" s="12"/>
      <c r="C19" s="12"/>
      <c r="D19" s="12"/>
      <c r="E19" s="12"/>
      <c r="F19" s="15"/>
      <c r="G19" s="12"/>
      <c r="H19" s="19"/>
    </row>
    <row r="20" spans="1:8" x14ac:dyDescent="0.3">
      <c r="A20" s="18"/>
      <c r="B20" s="12"/>
      <c r="C20" s="12"/>
      <c r="D20" s="12"/>
      <c r="E20" s="12"/>
      <c r="F20" s="15"/>
      <c r="G20" s="12"/>
      <c r="H20" s="19"/>
    </row>
    <row r="21" spans="1:8" x14ac:dyDescent="0.3">
      <c r="A21" s="18"/>
      <c r="B21" s="12"/>
      <c r="C21" s="12"/>
      <c r="D21" s="12"/>
      <c r="E21" s="12"/>
      <c r="F21" s="15"/>
      <c r="G21" s="12"/>
      <c r="H21" s="19"/>
    </row>
    <row r="22" spans="1:8" x14ac:dyDescent="0.3">
      <c r="A22" s="24"/>
      <c r="B22" s="25"/>
      <c r="C22" s="25"/>
      <c r="D22" s="25"/>
      <c r="E22" s="25"/>
      <c r="F22" s="26"/>
      <c r="G22" s="25"/>
      <c r="H22" s="27"/>
    </row>
  </sheetData>
  <phoneticPr fontId="7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AdmissionForm</vt:lpstr>
      <vt:lpstr>SavedData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priya.261796@outlook.com</dc:creator>
  <cp:lastModifiedBy>priya.261796@outlook.com</cp:lastModifiedBy>
  <dcterms:created xsi:type="dcterms:W3CDTF">2024-12-17T07:53:03Z</dcterms:created>
  <dcterms:modified xsi:type="dcterms:W3CDTF">2024-12-19T03:16:56Z</dcterms:modified>
</cp:coreProperties>
</file>
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8_{E60C3E37-C207-4D63-AE99-0807F35BFAF7}" xr6:coauthVersionLast="47" xr6:coauthVersionMax="47" xr10:uidLastSave="{00000000-0000-0000-0000-000000000000}"/>
  <bookViews>
    <workbookView xWindow="-108" yWindow="-108" windowWidth="23256" windowHeight="12456" activeTab="7" xr2:uid="{D9B07D0C-9A05-45D5-8C2D-AB36851E6A35}"/>
  </bookViews>
  <sheets>
    <sheet name="ZWS" sheetId="4" r:id="rId1"/>
    <sheet name="MNWS" sheetId="5" r:id="rId2"/>
    <sheet name="CWS" sheetId="6" r:id="rId3"/>
    <sheet name="BWS" sheetId="7" r:id="rId4"/>
    <sheet name="PWS" sheetId="9" r:id="rId5"/>
    <sheet name="SMWS" sheetId="10" r:id="rId6"/>
    <sheet name="Data" sheetId="1" r:id="rId7"/>
    <sheet name="DASHBOARD" sheetId="11" r:id="rId8"/>
    <sheet name="MWS" sheetId="2" r:id="rId9"/>
  </sheets>
  <definedNames>
    <definedName name="Slicer_City">#N/A</definedName>
    <definedName name="Slicer_Manager">#N/A</definedName>
    <definedName name="Slicer_Months">#N/A</definedName>
    <definedName name="Slicer_Product">#N/A</definedName>
    <definedName name="Slicer_Yea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1" i="1" l="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alcChain>
</file>

<file path=xl/sharedStrings.xml><?xml version="1.0" encoding="utf-8"?>
<sst xmlns="http://schemas.openxmlformats.org/spreadsheetml/2006/main" count="452" uniqueCount="71">
  <si>
    <t>Manager</t>
  </si>
  <si>
    <t>Salesman</t>
  </si>
  <si>
    <t>Zone</t>
  </si>
  <si>
    <t>City</t>
  </si>
  <si>
    <t>TOP</t>
  </si>
  <si>
    <t>Product</t>
  </si>
  <si>
    <t>Qnty</t>
  </si>
  <si>
    <t>Price</t>
  </si>
  <si>
    <t>Amount</t>
  </si>
  <si>
    <t>Year</t>
  </si>
  <si>
    <t>Months</t>
  </si>
  <si>
    <t>Harry</t>
  </si>
  <si>
    <t>Jennie</t>
  </si>
  <si>
    <t>Jack</t>
  </si>
  <si>
    <t>Carrie</t>
  </si>
  <si>
    <t>Selena</t>
  </si>
  <si>
    <t>Tunisha</t>
  </si>
  <si>
    <t>Ayesha</t>
  </si>
  <si>
    <t>Kiara</t>
  </si>
  <si>
    <t>Zaid</t>
  </si>
  <si>
    <t>Lisa</t>
  </si>
  <si>
    <t>Rose</t>
  </si>
  <si>
    <t>Jacqueline</t>
  </si>
  <si>
    <t>Bruno</t>
  </si>
  <si>
    <t>Shawn</t>
  </si>
  <si>
    <t>Oliver</t>
  </si>
  <si>
    <t>James</t>
  </si>
  <si>
    <t>Oscar</t>
  </si>
  <si>
    <t>Thomas</t>
  </si>
  <si>
    <t>George</t>
  </si>
  <si>
    <t>Arya</t>
  </si>
  <si>
    <t>Minho</t>
  </si>
  <si>
    <t>Ariana</t>
  </si>
  <si>
    <t>Peter</t>
  </si>
  <si>
    <t>Katrina</t>
  </si>
  <si>
    <t>North</t>
  </si>
  <si>
    <t>East</t>
  </si>
  <si>
    <t>West</t>
  </si>
  <si>
    <t>South</t>
  </si>
  <si>
    <t>Srinagar</t>
  </si>
  <si>
    <t>Kolkata</t>
  </si>
  <si>
    <t>Jaipur</t>
  </si>
  <si>
    <t>Chennai</t>
  </si>
  <si>
    <t>Bangalore</t>
  </si>
  <si>
    <t>Patna</t>
  </si>
  <si>
    <t>Mumbai</t>
  </si>
  <si>
    <t>Ranchi</t>
  </si>
  <si>
    <t>Chandigarh</t>
  </si>
  <si>
    <t>Indore</t>
  </si>
  <si>
    <t>Agra</t>
  </si>
  <si>
    <t>Pune</t>
  </si>
  <si>
    <t>Delhi</t>
  </si>
  <si>
    <t>Laptop</t>
  </si>
  <si>
    <t>TV</t>
  </si>
  <si>
    <t>Mobile</t>
  </si>
  <si>
    <t>Dell</t>
  </si>
  <si>
    <t>Sony</t>
  </si>
  <si>
    <t>Samsung</t>
  </si>
  <si>
    <t>Apple</t>
  </si>
  <si>
    <t>LG</t>
  </si>
  <si>
    <t>Hp</t>
  </si>
  <si>
    <t>Realme</t>
  </si>
  <si>
    <t>Videocon</t>
  </si>
  <si>
    <t>Redmi</t>
  </si>
  <si>
    <t>Jan</t>
  </si>
  <si>
    <t>Feb</t>
  </si>
  <si>
    <t>Mar</t>
  </si>
  <si>
    <t>Sum of Amount</t>
  </si>
  <si>
    <t>Row Labels</t>
  </si>
  <si>
    <t>Grand Total</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</si>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</sst>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8"/>
      <color theme="1"/>
      <name val="Algerian"/>
      <family val="5"/>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4">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cellXfs>
  <cellStyles count="1">
    <cellStyle name="Normal" xfId="0" builtinId="0"/>
  </cellStyles>
  <dxfs count="15">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8"/>
        <color theme="1"/>
        <name val="Algerian"/>
        <family val="5"/>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644468"/>
      <color rgb="FFB52FD9"/>
      <color rgb="FFCF5D39"/>
      <color rgb="FF8DDCA5"/>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[dashboard_pivot_project.xlsm]MWS!PivotTable1</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a:t>
            </a:r>
            <a:r>
              <a:rPr lang="en-US" baseline="0"/>
              <a:t> by Month</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3106429878083429E-2"/>
          <c:y val="0.20245133216025898"/>
          <c:w val="0.90877106270807062"/>
          <c:h val="0.73546255689557793"/>
        </c:manualLayout>
      </c:layout>
      <c:pie3DChart>
        <c:varyColors val="1"/>
        <c:ser>
          <c:idx val="0"/>
          <c:order val="0"/>
          <c:tx>
            <c:strRef>
              <c:f>MWS!$B$3</c:f>
              <c:strCache>
                <c:ptCount val="1"/>
                <c:pt idx="0">
                  <c:v>Total</c:v>
                </c:pt>
              </c:strCache>
            </c:strRef>
          </c:tx>
          <c:explosion val="18"/>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F328-44D2-B449-8EAEF104385E}"/>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F328-44D2-B449-8EAEF104385E}"/>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F328-44D2-B449-8EAEF104385E}"/>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MWS!$A$4:$A$7</c:f>
              <c:strCache>
                <c:ptCount val="3"/>
                <c:pt idx="0">
                  <c:v>Jan</c:v>
                </c:pt>
                <c:pt idx="1">
                  <c:v>Feb</c:v>
                </c:pt>
                <c:pt idx="2">
                  <c:v>Mar</c:v>
                </c:pt>
              </c:strCache>
            </c:strRef>
          </c:cat>
          <c:val>
            <c:numRef>
              <c:f>MWS!$B$4:$B$7</c:f>
              <c:numCache>
                <c:formatCode>General</c:formatCode>
                <c:ptCount val="3"/>
                <c:pt idx="0">
                  <c:v>20420000</c:v>
                </c:pt>
                <c:pt idx="1">
                  <c:v>23805000</c:v>
                </c:pt>
                <c:pt idx="2">
                  <c:v>19610000</c:v>
                </c:pt>
              </c:numCache>
            </c:numRef>
          </c:val>
          <c:extLst>
            <c:ext xmlns:c16="http://schemas.microsoft.com/office/drawing/2014/chart" uri="{C3380CC4-5D6E-409C-BE32-E72D297353CC}">
              <c16:uniqueId val="{00000006-F328-44D2-B449-8EAEF104385E}"/>
            </c:ext>
          </c:extLst>
        </c:ser>
        <c:dLbls>
          <c:dLblPos val="ctr"/>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[dashboard_pivot_project.xlsm]SMWS!PivotTable2</c:name>
    <c:fmtId val="6"/>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aseline="0"/>
              <a:t>SALESMAN WISE SALES</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644468"/>
          </a:solidFill>
          <a:ln w="9525" cap="flat" cmpd="sng" algn="ctr">
            <a:solidFill>
              <a:schemeClr val="accent1">
                <a:shade val="95000"/>
              </a:schemeClr>
            </a:solidFill>
            <a:round/>
          </a:ln>
          <a:effectLst/>
          <a:sp3d contourW="9525">
            <a:contourClr>
              <a:schemeClr val="accent1">
                <a:shade val="95000"/>
              </a:schemeClr>
            </a:contourClr>
          </a:sp3d>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pivotFmt>
      <c:pivotFmt>
        <c:idx val="1"/>
        <c:spPr>
          <a:solidFill>
            <a:srgbClr val="644468"/>
          </a:soli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44468"/>
          </a:soli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255950250536865"/>
          <c:y val="0.20449735449735451"/>
          <c:w val="0.85850110355523745"/>
          <c:h val="0.5495854684831063"/>
        </c:manualLayout>
      </c:layout>
      <c:bar3DChart>
        <c:barDir val="col"/>
        <c:grouping val="stacked"/>
        <c:varyColors val="0"/>
        <c:ser>
          <c:idx val="0"/>
          <c:order val="0"/>
          <c:tx>
            <c:strRef>
              <c:f>SMWS!$B$3</c:f>
              <c:strCache>
                <c:ptCount val="1"/>
                <c:pt idx="0">
                  <c:v>Total</c:v>
                </c:pt>
              </c:strCache>
            </c:strRef>
          </c:tx>
          <c:spPr>
            <a:solidFill>
              <a:srgbClr val="644468"/>
            </a:solidFill>
            <a:ln w="9525" cap="flat" cmpd="sng" algn="ctr">
              <a:solidFill>
                <a:schemeClr val="accent1">
                  <a:shade val="95000"/>
                </a:schemeClr>
              </a:solidFill>
              <a:round/>
            </a:ln>
            <a:effectLst/>
            <a:sp3d contourW="9525">
              <a:contourClr>
                <a:schemeClr val="accent1">
                  <a:shade val="9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SMWS!$A$4:$A$24</c:f>
              <c:strCache>
                <c:ptCount val="20"/>
                <c:pt idx="0">
                  <c:v>Ariana</c:v>
                </c:pt>
                <c:pt idx="1">
                  <c:v>Arya</c:v>
                </c:pt>
                <c:pt idx="2">
                  <c:v>Ayesha</c:v>
                </c:pt>
                <c:pt idx="3">
                  <c:v>Bruno</c:v>
                </c:pt>
                <c:pt idx="4">
                  <c:v>George</c:v>
                </c:pt>
                <c:pt idx="5">
                  <c:v>Jacqueline</c:v>
                </c:pt>
                <c:pt idx="6">
                  <c:v>James</c:v>
                </c:pt>
                <c:pt idx="7">
                  <c:v>Katrina</c:v>
                </c:pt>
                <c:pt idx="8">
                  <c:v>Kiara</c:v>
                </c:pt>
                <c:pt idx="9">
                  <c:v>Lisa</c:v>
                </c:pt>
                <c:pt idx="10">
                  <c:v>Minho</c:v>
                </c:pt>
                <c:pt idx="11">
                  <c:v>Oliver</c:v>
                </c:pt>
                <c:pt idx="12">
                  <c:v>Oscar</c:v>
                </c:pt>
                <c:pt idx="13">
                  <c:v>Peter</c:v>
                </c:pt>
                <c:pt idx="14">
                  <c:v>Rose</c:v>
                </c:pt>
                <c:pt idx="15">
                  <c:v>Selena</c:v>
                </c:pt>
                <c:pt idx="16">
                  <c:v>Shawn</c:v>
                </c:pt>
                <c:pt idx="17">
                  <c:v>Thomas</c:v>
                </c:pt>
                <c:pt idx="18">
                  <c:v>Tunisha</c:v>
                </c:pt>
                <c:pt idx="19">
                  <c:v>Zaid</c:v>
                </c:pt>
              </c:strCache>
            </c:strRef>
          </c:cat>
          <c:val>
            <c:numRef>
              <c:f>SMWS!$B$4:$B$24</c:f>
              <c:numCache>
                <c:formatCode>General</c:formatCode>
                <c:ptCount val="20"/>
                <c:pt idx="0">
                  <c:v>1060000</c:v>
                </c:pt>
                <c:pt idx="1">
                  <c:v>3120000</c:v>
                </c:pt>
                <c:pt idx="2">
                  <c:v>920000</c:v>
                </c:pt>
                <c:pt idx="3">
                  <c:v>4175000</c:v>
                </c:pt>
                <c:pt idx="4">
                  <c:v>2790000</c:v>
                </c:pt>
                <c:pt idx="5">
                  <c:v>4020000</c:v>
                </c:pt>
                <c:pt idx="6">
                  <c:v>5020000</c:v>
                </c:pt>
                <c:pt idx="7">
                  <c:v>4630000</c:v>
                </c:pt>
                <c:pt idx="8">
                  <c:v>3300000</c:v>
                </c:pt>
                <c:pt idx="9">
                  <c:v>1700000</c:v>
                </c:pt>
                <c:pt idx="10">
                  <c:v>1390000</c:v>
                </c:pt>
                <c:pt idx="11">
                  <c:v>3175000</c:v>
                </c:pt>
                <c:pt idx="12">
                  <c:v>5385000</c:v>
                </c:pt>
                <c:pt idx="13">
                  <c:v>770000</c:v>
                </c:pt>
                <c:pt idx="14">
                  <c:v>4175000</c:v>
                </c:pt>
                <c:pt idx="15">
                  <c:v>3290000</c:v>
                </c:pt>
                <c:pt idx="16">
                  <c:v>3320000</c:v>
                </c:pt>
                <c:pt idx="17">
                  <c:v>3745000</c:v>
                </c:pt>
                <c:pt idx="18">
                  <c:v>3255000</c:v>
                </c:pt>
                <c:pt idx="19">
                  <c:v>4595000</c:v>
                </c:pt>
              </c:numCache>
            </c:numRef>
          </c:val>
          <c:shape val="coneToMax"/>
          <c:extLst>
            <c:ext xmlns:c16="http://schemas.microsoft.com/office/drawing/2014/chart" uri="{C3380CC4-5D6E-409C-BE32-E72D297353CC}">
              <c16:uniqueId val="{00000000-8CEF-42F7-AFAC-62D49AD575EB}"/>
            </c:ext>
          </c:extLst>
        </c:ser>
        <c:dLbls>
          <c:showLegendKey val="0"/>
          <c:showVal val="1"/>
          <c:showCatName val="0"/>
          <c:showSerName val="0"/>
          <c:showPercent val="0"/>
          <c:showBubbleSize val="0"/>
        </c:dLbls>
        <c:gapWidth val="150"/>
        <c:shape val="coneToMax"/>
        <c:axId val="1223709520"/>
        <c:axId val="1223710000"/>
        <c:axId val="0"/>
      </c:bar3DChart>
      <c:catAx>
        <c:axId val="1223709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23710000"/>
        <c:crosses val="autoZero"/>
        <c:auto val="1"/>
        <c:lblAlgn val="ctr"/>
        <c:lblOffset val="100"/>
        <c:noMultiLvlLbl val="0"/>
      </c:catAx>
      <c:valAx>
        <c:axId val="122371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23709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000">
          <a:schemeClr val="bg2">
            <a:lumMod val="90000"/>
          </a:schemeClr>
        </a:gs>
        <a:gs pos="71000">
          <a:schemeClr val="accent1">
            <a:lumMod val="45000"/>
            <a:lumOff val="55000"/>
          </a:schemeClr>
        </a:gs>
        <a:gs pos="0">
          <a:srgbClr val="908C8D"/>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[dashboard_pivot_project.xlsm]PWS!PivotTable1</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 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3765288713910762"/>
                  <c:h val="0.13875000000000001"/>
                </c:manualLayout>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675417760279965"/>
                  <c:h val="0.18967592592592591"/>
                </c:manualLayout>
              </c15:layout>
            </c:ext>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5772222222222224"/>
                  <c:h val="0.19893518518518519"/>
                </c:manualLayout>
              </c15:layout>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675417760279965"/>
                  <c:h val="0.18967592592592591"/>
                </c:manualLayout>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5772222222222224"/>
                  <c:h val="0.19893518518518519"/>
                </c:manualLayout>
              </c15:layout>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3765288713910762"/>
                  <c:h val="0.13875000000000001"/>
                </c:manualLayout>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675417760279965"/>
                  <c:h val="0.18967592592592591"/>
                </c:manualLayout>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5772222222222224"/>
                  <c:h val="0.19893518518518519"/>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3765288713910762"/>
                  <c:h val="0.13875000000000001"/>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4606832140906246E-2"/>
          <c:y val="0.23451777922664124"/>
          <c:w val="0.90740740740740744"/>
          <c:h val="0.72656926406926403"/>
        </c:manualLayout>
      </c:layout>
      <c:pie3DChart>
        <c:varyColors val="1"/>
        <c:ser>
          <c:idx val="0"/>
          <c:order val="0"/>
          <c:tx>
            <c:strRef>
              <c:f>PWS!$B$3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E26-4E1D-84E4-0ADED8C65FC2}"/>
              </c:ext>
            </c:extLst>
          </c:dPt>
          <c:dPt>
            <c:idx val="1"/>
            <c:bubble3D val="0"/>
            <c:explosion val="2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E26-4E1D-84E4-0ADED8C65FC2}"/>
              </c:ext>
            </c:extLst>
          </c:dPt>
          <c:dPt>
            <c:idx val="2"/>
            <c:bubble3D val="0"/>
            <c:explosion val="3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E26-4E1D-84E4-0ADED8C65FC2}"/>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675417760279965"/>
                      <c:h val="0.18967592592592591"/>
                    </c:manualLayout>
                  </c15:layout>
                </c:ext>
                <c:ext xmlns:c16="http://schemas.microsoft.com/office/drawing/2014/chart" uri="{C3380CC4-5D6E-409C-BE32-E72D297353CC}">
                  <c16:uniqueId val="{00000001-1E26-4E1D-84E4-0ADED8C65FC2}"/>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5772222222222224"/>
                      <c:h val="0.19893518518518519"/>
                    </c:manualLayout>
                  </c15:layout>
                </c:ext>
                <c:ext xmlns:c16="http://schemas.microsoft.com/office/drawing/2014/chart" uri="{C3380CC4-5D6E-409C-BE32-E72D297353CC}">
                  <c16:uniqueId val="{00000003-1E26-4E1D-84E4-0ADED8C65FC2}"/>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13765288713910762"/>
                      <c:h val="0.13875000000000001"/>
                    </c:manualLayout>
                  </c15:layout>
                </c:ext>
                <c:ext xmlns:c16="http://schemas.microsoft.com/office/drawing/2014/chart" uri="{C3380CC4-5D6E-409C-BE32-E72D297353CC}">
                  <c16:uniqueId val="{00000005-1E26-4E1D-84E4-0ADED8C65F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PWS!$A$4:$A$7</c:f>
              <c:strCache>
                <c:ptCount val="3"/>
                <c:pt idx="0">
                  <c:v>Laptop</c:v>
                </c:pt>
                <c:pt idx="1">
                  <c:v>Mobile</c:v>
                </c:pt>
                <c:pt idx="2">
                  <c:v>TV</c:v>
                </c:pt>
              </c:strCache>
            </c:strRef>
          </c:cat>
          <c:val>
            <c:numRef>
              <c:f>PWS!$B$4:$B$7</c:f>
              <c:numCache>
                <c:formatCode>General</c:formatCode>
                <c:ptCount val="3"/>
                <c:pt idx="0">
                  <c:v>29830000</c:v>
                </c:pt>
                <c:pt idx="1">
                  <c:v>18010000</c:v>
                </c:pt>
                <c:pt idx="2">
                  <c:v>15995000</c:v>
                </c:pt>
              </c:numCache>
            </c:numRef>
          </c:val>
          <c:extLst>
            <c:ext xmlns:c16="http://schemas.microsoft.com/office/drawing/2014/chart" uri="{C3380CC4-5D6E-409C-BE32-E72D297353CC}">
              <c16:uniqueId val="{00000006-1E26-4E1D-84E4-0ADED8C65FC2}"/>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[dashboard_pivot_project.xlsm]BWS!PivotTable4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BRAND</a:t>
            </a:r>
            <a:r>
              <a:rPr lang="en-US" baseline="0"/>
              <a:t> WISE SALES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9138379514641207"/>
          <c:y val="0.17139411480945491"/>
          <c:w val="0.75641635399601892"/>
          <c:h val="0.61003908520118044"/>
        </c:manualLayout>
      </c:layout>
      <c:bar3DChart>
        <c:barDir val="col"/>
        <c:grouping val="standard"/>
        <c:varyColors val="0"/>
        <c:ser>
          <c:idx val="0"/>
          <c:order val="0"/>
          <c:tx>
            <c:strRef>
              <c:f>BWS!$B$3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BWS!$A$4:$A$13</c:f>
              <c:strCache>
                <c:ptCount val="9"/>
                <c:pt idx="0">
                  <c:v>Apple</c:v>
                </c:pt>
                <c:pt idx="1">
                  <c:v>Dell</c:v>
                </c:pt>
                <c:pt idx="2">
                  <c:v>Hp</c:v>
                </c:pt>
                <c:pt idx="3">
                  <c:v>LG</c:v>
                </c:pt>
                <c:pt idx="4">
                  <c:v>Realme</c:v>
                </c:pt>
                <c:pt idx="5">
                  <c:v>Redmi</c:v>
                </c:pt>
                <c:pt idx="6">
                  <c:v>Samsung</c:v>
                </c:pt>
                <c:pt idx="7">
                  <c:v>Sony</c:v>
                </c:pt>
                <c:pt idx="8">
                  <c:v>Videocon</c:v>
                </c:pt>
              </c:strCache>
            </c:strRef>
          </c:cat>
          <c:val>
            <c:numRef>
              <c:f>BWS!$B$4:$B$13</c:f>
              <c:numCache>
                <c:formatCode>General</c:formatCode>
                <c:ptCount val="9"/>
                <c:pt idx="0">
                  <c:v>22760000</c:v>
                </c:pt>
                <c:pt idx="1">
                  <c:v>9240000</c:v>
                </c:pt>
                <c:pt idx="2">
                  <c:v>5390000</c:v>
                </c:pt>
                <c:pt idx="3">
                  <c:v>2925000</c:v>
                </c:pt>
                <c:pt idx="4">
                  <c:v>2670000</c:v>
                </c:pt>
                <c:pt idx="5">
                  <c:v>2380000</c:v>
                </c:pt>
                <c:pt idx="6">
                  <c:v>7830000</c:v>
                </c:pt>
                <c:pt idx="7">
                  <c:v>9100000</c:v>
                </c:pt>
                <c:pt idx="8">
                  <c:v>1540000</c:v>
                </c:pt>
              </c:numCache>
            </c:numRef>
          </c:val>
          <c:extLst>
            <c:ext xmlns:c16="http://schemas.microsoft.com/office/drawing/2014/chart" uri="{C3380CC4-5D6E-409C-BE32-E72D297353CC}">
              <c16:uniqueId val="{00000000-1381-4A48-8D55-F5DE05048DD8}"/>
            </c:ext>
          </c:extLst>
        </c:ser>
        <c:dLbls>
          <c:showLegendKey val="0"/>
          <c:showVal val="1"/>
          <c:showCatName val="0"/>
          <c:showSerName val="0"/>
          <c:showPercent val="0"/>
          <c:showBubbleSize val="0"/>
        </c:dLbls>
        <c:gapWidth val="150"/>
        <c:shape val="box"/>
        <c:axId val="1412966047"/>
        <c:axId val="1412967007"/>
        <c:axId val="1479037103"/>
      </c:bar3DChart>
      <c:catAx>
        <c:axId val="14129660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2967007"/>
        <c:crosses val="autoZero"/>
        <c:auto val="1"/>
        <c:lblAlgn val="ctr"/>
        <c:lblOffset val="100"/>
        <c:noMultiLvlLbl val="0"/>
      </c:catAx>
      <c:valAx>
        <c:axId val="1412967007"/>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2966047"/>
        <c:crosses val="autoZero"/>
        <c:crossBetween val="between"/>
      </c:valAx>
      <c:serAx>
        <c:axId val="1479037103"/>
        <c:scaling>
          <c:orientation val="minMax"/>
        </c:scaling>
        <c:delete val="1"/>
        <c:axPos val="b"/>
        <c:majorTickMark val="none"/>
        <c:minorTickMark val="none"/>
        <c:tickLblPos val="nextTo"/>
        <c:crossAx val="1412967007"/>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[dashboard_pivot_project.xlsm]CWS!PivotTable3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CITY</a:t>
            </a:r>
            <a:r>
              <a:rPr lang="en-US" baseline="0"/>
              <a:t> WISE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gradFill>
          <a:gsLst>
            <a:gs pos="20000">
              <a:srgbClr val="ECC9B6"/>
            </a:gs>
            <a:gs pos="31450">
              <a:srgbClr val="D7C6C4"/>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0800000" scaled="1"/>
        </a:gradFill>
        <a:ln>
          <a:noFill/>
        </a:ln>
        <a:effectLst/>
        <a:sp3d/>
      </c:spPr>
    </c:backWall>
    <c:plotArea>
      <c:layout/>
      <c:bar3DChart>
        <c:barDir val="col"/>
        <c:grouping val="stacked"/>
        <c:varyColors val="0"/>
        <c:ser>
          <c:idx val="0"/>
          <c:order val="0"/>
          <c:tx>
            <c:strRef>
              <c:f>CWS!$B$3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CWS!$A$4:$A$17</c:f>
              <c:strCache>
                <c:ptCount val="13"/>
                <c:pt idx="0">
                  <c:v>Agra</c:v>
                </c:pt>
                <c:pt idx="1">
                  <c:v>Bangalore</c:v>
                </c:pt>
                <c:pt idx="2">
                  <c:v>Chandigarh</c:v>
                </c:pt>
                <c:pt idx="3">
                  <c:v>Chennai</c:v>
                </c:pt>
                <c:pt idx="4">
                  <c:v>Delhi</c:v>
                </c:pt>
                <c:pt idx="5">
                  <c:v>Indore</c:v>
                </c:pt>
                <c:pt idx="6">
                  <c:v>Jaipur</c:v>
                </c:pt>
                <c:pt idx="7">
                  <c:v>Kolkata</c:v>
                </c:pt>
                <c:pt idx="8">
                  <c:v>Mumbai</c:v>
                </c:pt>
                <c:pt idx="9">
                  <c:v>Patna</c:v>
                </c:pt>
                <c:pt idx="10">
                  <c:v>Pune</c:v>
                </c:pt>
                <c:pt idx="11">
                  <c:v>Ranchi</c:v>
                </c:pt>
                <c:pt idx="12">
                  <c:v>Srinagar</c:v>
                </c:pt>
              </c:strCache>
            </c:strRef>
          </c:cat>
          <c:val>
            <c:numRef>
              <c:f>CWS!$B$4:$B$17</c:f>
              <c:numCache>
                <c:formatCode>General</c:formatCode>
                <c:ptCount val="13"/>
                <c:pt idx="0">
                  <c:v>1610000</c:v>
                </c:pt>
                <c:pt idx="1">
                  <c:v>2450000</c:v>
                </c:pt>
                <c:pt idx="2">
                  <c:v>1840000</c:v>
                </c:pt>
                <c:pt idx="3">
                  <c:v>8520000</c:v>
                </c:pt>
                <c:pt idx="4">
                  <c:v>5450000</c:v>
                </c:pt>
                <c:pt idx="5">
                  <c:v>5645000</c:v>
                </c:pt>
                <c:pt idx="6">
                  <c:v>5470000</c:v>
                </c:pt>
                <c:pt idx="7">
                  <c:v>7635000</c:v>
                </c:pt>
                <c:pt idx="8">
                  <c:v>3490000</c:v>
                </c:pt>
                <c:pt idx="9">
                  <c:v>4440000</c:v>
                </c:pt>
                <c:pt idx="10">
                  <c:v>5860000</c:v>
                </c:pt>
                <c:pt idx="11">
                  <c:v>4275000</c:v>
                </c:pt>
                <c:pt idx="12">
                  <c:v>7150000</c:v>
                </c:pt>
              </c:numCache>
            </c:numRef>
          </c:val>
          <c:extLst>
            <c:ext xmlns:c16="http://schemas.microsoft.com/office/drawing/2014/chart" uri="{C3380CC4-5D6E-409C-BE32-E72D297353CC}">
              <c16:uniqueId val="{00000000-69A8-46F2-9626-6E7925BCC097}"/>
            </c:ext>
          </c:extLst>
        </c:ser>
        <c:dLbls>
          <c:showLegendKey val="0"/>
          <c:showVal val="1"/>
          <c:showCatName val="0"/>
          <c:showSerName val="0"/>
          <c:showPercent val="0"/>
          <c:showBubbleSize val="0"/>
        </c:dLbls>
        <c:gapWidth val="150"/>
        <c:shape val="box"/>
        <c:axId val="1349906015"/>
        <c:axId val="1349907455"/>
        <c:axId val="0"/>
      </c:bar3DChart>
      <c:catAx>
        <c:axId val="134990601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9907455"/>
        <c:crosses val="autoZero"/>
        <c:auto val="1"/>
        <c:lblAlgn val="ctr"/>
        <c:lblOffset val="100"/>
        <c:noMultiLvlLbl val="0"/>
      </c:catAx>
      <c:valAx>
        <c:axId val="1349907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99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60000"/>
        <a:lumOff val="40000"/>
        <a:alpha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[dashboard_pivot_project.xlsm]MNWS!PivotTable2</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MANAGER 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blipFill>
            <a:blip xmlns:r="http://schemas.openxmlformats.org/officeDocument/2006/relationships" r:embed="rId3"/>
            <a:tile tx="0" ty="0" sx="100000" sy="100000" flip="none" algn="tl"/>
          </a:blip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3"/>
            <a:tile tx="0" ty="0" sx="100000" sy="100000" flip="none" algn="tl"/>
          </a:blip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tile tx="0" ty="0" sx="100000" sy="100000" flip="none" algn="tl"/>
          </a:blip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MNWS!$B$3</c:f>
              <c:strCache>
                <c:ptCount val="1"/>
                <c:pt idx="0">
                  <c:v>Total</c:v>
                </c:pt>
              </c:strCache>
            </c:strRef>
          </c:tx>
          <c:spPr>
            <a:blipFill>
              <a:blip xmlns:r="http://schemas.openxmlformats.org/officeDocument/2006/relationships" r:embed="rId3"/>
              <a:tile tx="0" ty="0" sx="100000" sy="100000" flip="none" algn="tl"/>
            </a:blip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MNWS!$A$4:$A$20</c:f>
              <c:multiLvlStrCache>
                <c:ptCount val="12"/>
                <c:lvl>
                  <c:pt idx="0">
                    <c:v>Laptop</c:v>
                  </c:pt>
                  <c:pt idx="1">
                    <c:v>Mobile</c:v>
                  </c:pt>
                  <c:pt idx="2">
                    <c:v>TV</c:v>
                  </c:pt>
                  <c:pt idx="3">
                    <c:v>Laptop</c:v>
                  </c:pt>
                  <c:pt idx="4">
                    <c:v>Mobile</c:v>
                  </c:pt>
                  <c:pt idx="5">
                    <c:v>TV</c:v>
                  </c:pt>
                  <c:pt idx="6">
                    <c:v>Laptop</c:v>
                  </c:pt>
                  <c:pt idx="7">
                    <c:v>Mobile</c:v>
                  </c:pt>
                  <c:pt idx="8">
                    <c:v>TV</c:v>
                  </c:pt>
                  <c:pt idx="9">
                    <c:v>Laptop</c:v>
                  </c:pt>
                  <c:pt idx="10">
                    <c:v>Mobile</c:v>
                  </c:pt>
                  <c:pt idx="11">
                    <c:v>TV</c:v>
                  </c:pt>
                </c:lvl>
                <c:lvl>
                  <c:pt idx="0">
                    <c:v>Carrie</c:v>
                  </c:pt>
                  <c:pt idx="3">
                    <c:v>Harry</c:v>
                  </c:pt>
                  <c:pt idx="6">
                    <c:v>Jack</c:v>
                  </c:pt>
                  <c:pt idx="9">
                    <c:v>Jennie</c:v>
                  </c:pt>
                </c:lvl>
              </c:multiLvlStrCache>
            </c:multiLvlStrRef>
          </c:cat>
          <c:val>
            <c:numRef>
              <c:f>MNWS!$B$4:$B$20</c:f>
              <c:numCache>
                <c:formatCode>General</c:formatCode>
                <c:ptCount val="12"/>
                <c:pt idx="0">
                  <c:v>3360000</c:v>
                </c:pt>
                <c:pt idx="1">
                  <c:v>3755000</c:v>
                </c:pt>
                <c:pt idx="2">
                  <c:v>3855000</c:v>
                </c:pt>
                <c:pt idx="3">
                  <c:v>7755000</c:v>
                </c:pt>
                <c:pt idx="4">
                  <c:v>2760000</c:v>
                </c:pt>
                <c:pt idx="5">
                  <c:v>4845000</c:v>
                </c:pt>
                <c:pt idx="6">
                  <c:v>7670000</c:v>
                </c:pt>
                <c:pt idx="7">
                  <c:v>9200000</c:v>
                </c:pt>
                <c:pt idx="8">
                  <c:v>3245000</c:v>
                </c:pt>
                <c:pt idx="9">
                  <c:v>11045000</c:v>
                </c:pt>
                <c:pt idx="10">
                  <c:v>2295000</c:v>
                </c:pt>
                <c:pt idx="11">
                  <c:v>4050000</c:v>
                </c:pt>
              </c:numCache>
            </c:numRef>
          </c:val>
          <c:extLst>
            <c:ext xmlns:c16="http://schemas.microsoft.com/office/drawing/2014/chart" uri="{C3380CC4-5D6E-409C-BE32-E72D297353CC}">
              <c16:uniqueId val="{00000000-8650-4613-8B71-5613485ED7B3}"/>
            </c:ext>
          </c:extLst>
        </c:ser>
        <c:dLbls>
          <c:showLegendKey val="0"/>
          <c:showVal val="1"/>
          <c:showCatName val="0"/>
          <c:showSerName val="0"/>
          <c:showPercent val="0"/>
          <c:showBubbleSize val="0"/>
        </c:dLbls>
        <c:gapWidth val="150"/>
        <c:shape val="box"/>
        <c:axId val="1349903615"/>
        <c:axId val="1349912255"/>
        <c:axId val="0"/>
      </c:bar3DChart>
      <c:catAx>
        <c:axId val="13499036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49912255"/>
        <c:crosses val="autoZero"/>
        <c:auto val="1"/>
        <c:lblAlgn val="ctr"/>
        <c:lblOffset val="100"/>
        <c:noMultiLvlLbl val="0"/>
      </c:catAx>
      <c:valAx>
        <c:axId val="134991225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49903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[dashboard_pivot_project.xlsm]ZWS!PivotTable1</c:name>
    <c:fmtId val="6"/>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Zone by Sales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7040614768514761"/>
          <c:y val="0.28061841244607838"/>
          <c:w val="0.6692056534170342"/>
          <c:h val="0.6143181234837759"/>
        </c:manualLayout>
      </c:layout>
      <c:doughnutChart>
        <c:varyColors val="1"/>
        <c:ser>
          <c:idx val="0"/>
          <c:order val="0"/>
          <c:tx>
            <c:strRef>
              <c:f>ZWS!$B$3</c:f>
              <c:strCache>
                <c:ptCount val="1"/>
                <c:pt idx="0">
                  <c:v>Total</c:v>
                </c:pt>
              </c:strCache>
            </c:strRef>
          </c:tx>
          <c:explosion val="14"/>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364-4878-8D81-6B12DAA1009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364-4878-8D81-6B12DAA1009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364-4878-8D81-6B12DAA1009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364-4878-8D81-6B12DAA1009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ZWS!$A$4:$A$8</c:f>
              <c:strCache>
                <c:ptCount val="4"/>
                <c:pt idx="0">
                  <c:v>East</c:v>
                </c:pt>
                <c:pt idx="1">
                  <c:v>North</c:v>
                </c:pt>
                <c:pt idx="2">
                  <c:v>South</c:v>
                </c:pt>
                <c:pt idx="3">
                  <c:v>West</c:v>
                </c:pt>
              </c:strCache>
            </c:strRef>
          </c:cat>
          <c:val>
            <c:numRef>
              <c:f>ZWS!$B$4:$B$8</c:f>
              <c:numCache>
                <c:formatCode>General</c:formatCode>
                <c:ptCount val="4"/>
                <c:pt idx="0">
                  <c:v>17040000</c:v>
                </c:pt>
                <c:pt idx="1">
                  <c:v>15360000</c:v>
                </c:pt>
                <c:pt idx="2">
                  <c:v>10970000</c:v>
                </c:pt>
                <c:pt idx="3">
                  <c:v>20465000</c:v>
                </c:pt>
              </c:numCache>
            </c:numRef>
          </c:val>
          <c:extLst>
            <c:ext xmlns:c16="http://schemas.microsoft.com/office/drawing/2014/chart" uri="{C3380CC4-5D6E-409C-BE32-E72D297353CC}">
              <c16:uniqueId val="{00000008-C364-4878-8D81-6B12DAA10099}"/>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81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0</xdr:rowOff>
    </xdr:from>
    <xdr:to>
      <xdr:col>2</xdr:col>
      <xdr:colOff>563880</xdr:colOff>
      <xdr:row>13</xdr:row>
      <xdr:rowOff>30480</xdr:rowOff>
    </xdr:to>
    <xdr:graphicFrame macro="">
      <xdr:nvGraphicFramePr>
        <xdr:cNvPr id="2" name="Chart 1">
          <a:extLst>
            <a:ext uri="{FF2B5EF4-FFF2-40B4-BE49-F238E27FC236}">
              <a16:creationId xmlns:a16="http://schemas.microsoft.com/office/drawing/2014/main" id="{2A1BC266-5BF8-49FD-84D3-A5A055C8E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342900</xdr:colOff>
      <xdr:row>0</xdr:row>
      <xdr:rowOff>0</xdr:rowOff>
    </xdr:from>
    <xdr:to>
      <xdr:col>13</xdr:col>
      <xdr:colOff>7620</xdr:colOff>
      <xdr:row>13</xdr:row>
      <xdr:rowOff>53340</xdr:rowOff>
    </xdr:to>
    <xdr:graphicFrame macro="">
      <xdr:nvGraphicFramePr>
        <xdr:cNvPr id="3" name="Chart 2">
          <a:extLst>
            <a:ext uri="{FF2B5EF4-FFF2-40B4-BE49-F238E27FC236}">
              <a16:creationId xmlns:a16="http://schemas.microsoft.com/office/drawing/2014/main" id="{FC13C03A-F8FF-4193-B934-0F100FFF65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22860</xdr:colOff>
      <xdr:row>0</xdr:row>
      <xdr:rowOff>0</xdr:rowOff>
    </xdr:from>
    <xdr:to>
      <xdr:col>17</xdr:col>
      <xdr:colOff>594360</xdr:colOff>
      <xdr:row>13</xdr:row>
      <xdr:rowOff>30480</xdr:rowOff>
    </xdr:to>
    <xdr:graphicFrame macro="">
      <xdr:nvGraphicFramePr>
        <xdr:cNvPr id="4" name="Chart 3">
          <a:extLst>
            <a:ext uri="{FF2B5EF4-FFF2-40B4-BE49-F238E27FC236}">
              <a16:creationId xmlns:a16="http://schemas.microsoft.com/office/drawing/2014/main" id="{B5285635-531F-4B6F-BE8F-A7E1F7C68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13</xdr:row>
      <xdr:rowOff>45720</xdr:rowOff>
    </xdr:from>
    <xdr:to>
      <xdr:col>5</xdr:col>
      <xdr:colOff>373380</xdr:colOff>
      <xdr:row>27</xdr:row>
      <xdr:rowOff>118110</xdr:rowOff>
    </xdr:to>
    <xdr:graphicFrame macro="">
      <xdr:nvGraphicFramePr>
        <xdr:cNvPr id="5" name="Chart 4">
          <a:extLst>
            <a:ext uri="{FF2B5EF4-FFF2-40B4-BE49-F238E27FC236}">
              <a16:creationId xmlns:a16="http://schemas.microsoft.com/office/drawing/2014/main" id="{CC60F8E3-6001-43EE-9F1A-E929F9655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381000</xdr:colOff>
      <xdr:row>13</xdr:row>
      <xdr:rowOff>30480</xdr:rowOff>
    </xdr:from>
    <xdr:to>
      <xdr:col>13</xdr:col>
      <xdr:colOff>0</xdr:colOff>
      <xdr:row>27</xdr:row>
      <xdr:rowOff>114300</xdr:rowOff>
    </xdr:to>
    <xdr:graphicFrame macro="">
      <xdr:nvGraphicFramePr>
        <xdr:cNvPr id="6" name="Chart 5">
          <a:extLst>
            <a:ext uri="{FF2B5EF4-FFF2-40B4-BE49-F238E27FC236}">
              <a16:creationId xmlns:a16="http://schemas.microsoft.com/office/drawing/2014/main" id="{3F493441-316E-4195-9B70-F55A6DE67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22860</xdr:colOff>
      <xdr:row>13</xdr:row>
      <xdr:rowOff>38100</xdr:rowOff>
    </xdr:from>
    <xdr:to>
      <xdr:col>17</xdr:col>
      <xdr:colOff>601980</xdr:colOff>
      <xdr:row>27</xdr:row>
      <xdr:rowOff>129540</xdr:rowOff>
    </xdr:to>
    <xdr:graphicFrame macro="">
      <xdr:nvGraphicFramePr>
        <xdr:cNvPr id="7" name="Chart 6">
          <a:extLst>
            <a:ext uri="{FF2B5EF4-FFF2-40B4-BE49-F238E27FC236}">
              <a16:creationId xmlns:a16="http://schemas.microsoft.com/office/drawing/2014/main" id="{57A1E7C5-5F2A-40CF-8A44-7C09A25997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571500</xdr:colOff>
      <xdr:row>0</xdr:row>
      <xdr:rowOff>0</xdr:rowOff>
    </xdr:from>
    <xdr:to>
      <xdr:col>6</xdr:col>
      <xdr:colOff>350520</xdr:colOff>
      <xdr:row>13</xdr:row>
      <xdr:rowOff>38100</xdr:rowOff>
    </xdr:to>
    <xdr:graphicFrame macro="">
      <xdr:nvGraphicFramePr>
        <xdr:cNvPr id="8" name="Chart 7">
          <a:extLst>
            <a:ext uri="{FF2B5EF4-FFF2-40B4-BE49-F238E27FC236}">
              <a16:creationId xmlns:a16="http://schemas.microsoft.com/office/drawing/2014/main" id="{4935F038-8DC4-47D0-A256-D7137A9F39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15241</xdr:colOff>
      <xdr:row>0</xdr:row>
      <xdr:rowOff>45721</xdr:rowOff>
    </xdr:from>
    <xdr:to>
      <xdr:col>23</xdr:col>
      <xdr:colOff>137160</xdr:colOff>
      <xdr:row>5</xdr:row>
      <xdr:rowOff>15240</xdr:rowOff>
    </xdr:to>
    <mc:AlternateContent xmlns:mc="http://schemas.openxmlformats.org/markup-compatibility/2006" xmlns:a14="http://schemas.microsoft.com/office/drawing/2010/main">
      <mc:Choice Requires="a14">
        <xdr:graphicFrame macro="">
          <xdr:nvGraphicFramePr>
            <xdr:cNvPr id="9" name="Manager">
              <a:extLst>
                <a:ext uri="{FF2B5EF4-FFF2-40B4-BE49-F238E27FC236}">
                  <a16:creationId xmlns:a16="http://schemas.microsoft.com/office/drawing/2014/main" id="{BAE18620-189A-F81A-CB2C-92B9EF83EB16}"/>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0988041" y="45721"/>
              <a:ext cx="3169919" cy="883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20165</xdr:colOff>
      <xdr:row>5</xdr:row>
      <xdr:rowOff>32944</xdr:rowOff>
    </xdr:from>
    <xdr:to>
      <xdr:col>23</xdr:col>
      <xdr:colOff>144780</xdr:colOff>
      <xdr:row>11</xdr:row>
      <xdr:rowOff>30480</xdr:rowOff>
    </xdr:to>
    <mc:AlternateContent xmlns:mc="http://schemas.openxmlformats.org/markup-compatibility/2006" xmlns:a14="http://schemas.microsoft.com/office/drawing/2010/main">
      <mc:Choice Requires="a14">
        <xdr:graphicFrame macro="">
          <xdr:nvGraphicFramePr>
            <xdr:cNvPr id="10" name="Product">
              <a:extLst>
                <a:ext uri="{FF2B5EF4-FFF2-40B4-BE49-F238E27FC236}">
                  <a16:creationId xmlns:a16="http://schemas.microsoft.com/office/drawing/2014/main" id="{0993DCC1-4222-85B6-26E8-9BAB5A823602}"/>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992965" y="947344"/>
              <a:ext cx="3172615" cy="10948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15240</xdr:colOff>
      <xdr:row>11</xdr:row>
      <xdr:rowOff>60961</xdr:rowOff>
    </xdr:from>
    <xdr:to>
      <xdr:col>23</xdr:col>
      <xdr:colOff>137160</xdr:colOff>
      <xdr:row>15</xdr:row>
      <xdr:rowOff>30480</xdr:rowOff>
    </xdr:to>
    <mc:AlternateContent xmlns:mc="http://schemas.openxmlformats.org/markup-compatibility/2006" xmlns:a14="http://schemas.microsoft.com/office/drawing/2010/main">
      <mc:Choice Requires="a14">
        <xdr:graphicFrame macro="">
          <xdr:nvGraphicFramePr>
            <xdr:cNvPr id="11" name="Months">
              <a:extLst>
                <a:ext uri="{FF2B5EF4-FFF2-40B4-BE49-F238E27FC236}">
                  <a16:creationId xmlns:a16="http://schemas.microsoft.com/office/drawing/2014/main" id="{F70A6A86-6568-6A60-8BCB-D6668CC0321E}"/>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0988040" y="2072641"/>
              <a:ext cx="3169920" cy="701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15240</xdr:colOff>
      <xdr:row>15</xdr:row>
      <xdr:rowOff>60960</xdr:rowOff>
    </xdr:from>
    <xdr:to>
      <xdr:col>23</xdr:col>
      <xdr:colOff>121920</xdr:colOff>
      <xdr:row>24</xdr:row>
      <xdr:rowOff>30479</xdr:rowOff>
    </xdr:to>
    <mc:AlternateContent xmlns:mc="http://schemas.openxmlformats.org/markup-compatibility/2006" xmlns:a14="http://schemas.microsoft.com/office/drawing/2010/main">
      <mc:Choice Requires="a14">
        <xdr:graphicFrame macro="">
          <xdr:nvGraphicFramePr>
            <xdr:cNvPr id="12" name="City">
              <a:extLst>
                <a:ext uri="{FF2B5EF4-FFF2-40B4-BE49-F238E27FC236}">
                  <a16:creationId xmlns:a16="http://schemas.microsoft.com/office/drawing/2014/main" id="{779ACA91-F64E-3660-ECC5-AAE7AC274D49}"/>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0988040" y="2804160"/>
              <a:ext cx="3154680" cy="16154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15240</xdr:colOff>
      <xdr:row>24</xdr:row>
      <xdr:rowOff>53340</xdr:rowOff>
    </xdr:from>
    <xdr:to>
      <xdr:col>23</xdr:col>
      <xdr:colOff>114300</xdr:colOff>
      <xdr:row>27</xdr:row>
      <xdr:rowOff>121919</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8F50465B-710D-E2CE-F340-804D872A865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988040" y="4442460"/>
              <a:ext cx="3147060" cy="6172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38.878815509262" createdVersion="8" refreshedVersion="8" minRefreshableVersion="3" recordCount="50" xr:uid="{3460BC18-6BAF-49BD-8274-5A4438B11B35}">
  <cacheSource type="worksheet">
    <worksheetSource name="Table1"/>
  </cacheSource>
  <cacheFields count="11">
    <cacheField name="Manager" numFmtId="0">
      <sharedItems count="4">
        <s v="Harry"/>
        <s v="Jennie"/>
        <s v="Jack"/>
        <s v="Carrie"/>
      </sharedItems>
    </cacheField>
    <cacheField name="Salesman" numFmtId="0">
      <sharedItems count="20">
        <s v="Selena"/>
        <s v="Lisa"/>
        <s v="Oliver"/>
        <s v="Arya"/>
        <s v="Minho"/>
        <s v="Rose"/>
        <s v="James"/>
        <s v="Jacqueline"/>
        <s v="Tunisha"/>
        <s v="Oscar"/>
        <s v="Ayesha"/>
        <s v="Thomas"/>
        <s v="Ariana"/>
        <s v="George"/>
        <s v="Shawn"/>
        <s v="Kiara"/>
        <s v="Peter"/>
        <s v="Bruno"/>
        <s v="Katrina"/>
        <s v="Zaid"/>
      </sharedItems>
    </cacheField>
    <cacheField name="Zone" numFmtId="0">
      <sharedItems count="4">
        <s v="North"/>
        <s v="East"/>
        <s v="West"/>
        <s v="South"/>
      </sharedItems>
    </cacheField>
    <cacheField name="City" numFmtId="0">
      <sharedItems count="13">
        <s v="Srinagar"/>
        <s v="Kolkata"/>
        <s v="Jaipur"/>
        <s v="Chennai"/>
        <s v="Bangalore"/>
        <s v="Patna"/>
        <s v="Mumbai"/>
        <s v="Ranchi"/>
        <s v="Chandigarh"/>
        <s v="Indore"/>
        <s v="Agra"/>
        <s v="Pune"/>
        <s v="Delhi"/>
      </sharedItems>
    </cacheField>
    <cacheField name="TOP" numFmtId="0">
      <sharedItems count="3">
        <s v="Laptop"/>
        <s v="TV"/>
        <s v="Mobile"/>
      </sharedItems>
    </cacheField>
    <cacheField name="Product" numFmtId="0">
      <sharedItems count="9">
        <s v="Dell"/>
        <s v="Sony"/>
        <s v="Samsung"/>
        <s v="Apple"/>
        <s v="LG"/>
        <s v="Hp"/>
        <s v="Realme"/>
        <s v="Videocon"/>
        <s v="Redmi"/>
      </sharedItems>
    </cacheField>
    <cacheField name="Qnty" numFmtId="0">
      <sharedItems containsSemiMixedTypes="0" containsString="0" containsNumber="1" containsInteger="1" minValue="10" maxValue="42"/>
    </cacheField>
    <cacheField name="Price" numFmtId="0">
      <sharedItems containsSemiMixedTypes="0" containsString="0" containsNumber="1" containsInteger="1" minValue="30000" maxValue="95000"/>
    </cacheField>
    <cacheField name="Amount" numFmtId="0">
      <sharedItems containsSemiMixedTypes="0" containsString="0" containsNumber="1" containsInteger="1" minValue="350000" maxValue="3515000"/>
    </cacheField>
    <cacheField name="Year" numFmtId="0">
      <sharedItems containsSemiMixedTypes="0" containsString="0" containsNumber="1" containsInteger="1" minValue="2021" maxValue="2023" count="3">
        <n v="2021"/>
        <n v="2022"/>
        <n v="2023"/>
      </sharedItems>
    </cacheField>
    <cacheField name="Months" numFmtId="0">
      <sharedItems count="3">
        <s v="Jan"/>
        <s v="Feb"/>
        <s v="Mar"/>
      </sharedItems>
    </cacheField>
  </cacheFields>
  <extLst>
    <ext xmlns:x14="http://schemas.microsoft.com/office/spreadsheetml/2009/9/main" uri="{725AE2AE-9491-48be-B2B4-4EB974FC3084}">
      <x14:pivotCacheDefinition pivotCacheId="14190207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x v="0"/>
    <x v="0"/>
    <x v="0"/>
    <n v="34"/>
    <n v="70000"/>
    <n v="2380000"/>
    <x v="0"/>
    <x v="0"/>
  </r>
  <r>
    <x v="1"/>
    <x v="1"/>
    <x v="1"/>
    <x v="1"/>
    <x v="1"/>
    <x v="1"/>
    <n v="23"/>
    <n v="50000"/>
    <n v="1150000"/>
    <x v="1"/>
    <x v="1"/>
  </r>
  <r>
    <x v="2"/>
    <x v="2"/>
    <x v="2"/>
    <x v="2"/>
    <x v="2"/>
    <x v="2"/>
    <n v="34"/>
    <n v="40000"/>
    <n v="1360000"/>
    <x v="0"/>
    <x v="2"/>
  </r>
  <r>
    <x v="3"/>
    <x v="3"/>
    <x v="3"/>
    <x v="3"/>
    <x v="2"/>
    <x v="3"/>
    <n v="23"/>
    <n v="90000"/>
    <n v="2070000"/>
    <x v="2"/>
    <x v="2"/>
  </r>
  <r>
    <x v="3"/>
    <x v="4"/>
    <x v="3"/>
    <x v="4"/>
    <x v="1"/>
    <x v="4"/>
    <n v="13"/>
    <n v="45000"/>
    <n v="585000"/>
    <x v="0"/>
    <x v="0"/>
  </r>
  <r>
    <x v="1"/>
    <x v="5"/>
    <x v="1"/>
    <x v="5"/>
    <x v="0"/>
    <x v="5"/>
    <n v="12"/>
    <n v="55000"/>
    <n v="660000"/>
    <x v="1"/>
    <x v="0"/>
  </r>
  <r>
    <x v="2"/>
    <x v="6"/>
    <x v="2"/>
    <x v="6"/>
    <x v="0"/>
    <x v="0"/>
    <n v="11"/>
    <n v="70000"/>
    <n v="770000"/>
    <x v="0"/>
    <x v="2"/>
  </r>
  <r>
    <x v="1"/>
    <x v="7"/>
    <x v="1"/>
    <x v="7"/>
    <x v="1"/>
    <x v="1"/>
    <n v="21"/>
    <n v="50000"/>
    <n v="1050000"/>
    <x v="2"/>
    <x v="1"/>
  </r>
  <r>
    <x v="0"/>
    <x v="8"/>
    <x v="0"/>
    <x v="8"/>
    <x v="2"/>
    <x v="6"/>
    <n v="32"/>
    <n v="30000"/>
    <n v="960000"/>
    <x v="2"/>
    <x v="2"/>
  </r>
  <r>
    <x v="2"/>
    <x v="9"/>
    <x v="2"/>
    <x v="9"/>
    <x v="1"/>
    <x v="7"/>
    <n v="12"/>
    <n v="35000"/>
    <n v="420000"/>
    <x v="2"/>
    <x v="1"/>
  </r>
  <r>
    <x v="0"/>
    <x v="10"/>
    <x v="0"/>
    <x v="10"/>
    <x v="2"/>
    <x v="2"/>
    <n v="23"/>
    <n v="40000"/>
    <n v="920000"/>
    <x v="1"/>
    <x v="0"/>
  </r>
  <r>
    <x v="2"/>
    <x v="11"/>
    <x v="2"/>
    <x v="11"/>
    <x v="0"/>
    <x v="5"/>
    <n v="11"/>
    <n v="55000"/>
    <n v="605000"/>
    <x v="0"/>
    <x v="0"/>
  </r>
  <r>
    <x v="3"/>
    <x v="12"/>
    <x v="3"/>
    <x v="4"/>
    <x v="0"/>
    <x v="0"/>
    <n v="10"/>
    <n v="70000"/>
    <n v="700000"/>
    <x v="2"/>
    <x v="2"/>
  </r>
  <r>
    <x v="2"/>
    <x v="13"/>
    <x v="2"/>
    <x v="6"/>
    <x v="2"/>
    <x v="8"/>
    <n v="18"/>
    <n v="35000"/>
    <n v="630000"/>
    <x v="0"/>
    <x v="2"/>
  </r>
  <r>
    <x v="1"/>
    <x v="14"/>
    <x v="1"/>
    <x v="1"/>
    <x v="2"/>
    <x v="6"/>
    <n v="22"/>
    <n v="30000"/>
    <n v="660000"/>
    <x v="1"/>
    <x v="1"/>
  </r>
  <r>
    <x v="0"/>
    <x v="15"/>
    <x v="0"/>
    <x v="0"/>
    <x v="0"/>
    <x v="3"/>
    <n v="16"/>
    <n v="95000"/>
    <n v="1520000"/>
    <x v="2"/>
    <x v="2"/>
  </r>
  <r>
    <x v="2"/>
    <x v="11"/>
    <x v="2"/>
    <x v="9"/>
    <x v="1"/>
    <x v="1"/>
    <n v="25"/>
    <n v="50000"/>
    <n v="1250000"/>
    <x v="0"/>
    <x v="1"/>
  </r>
  <r>
    <x v="3"/>
    <x v="16"/>
    <x v="3"/>
    <x v="3"/>
    <x v="1"/>
    <x v="7"/>
    <n v="22"/>
    <n v="35000"/>
    <n v="770000"/>
    <x v="1"/>
    <x v="1"/>
  </r>
  <r>
    <x v="1"/>
    <x v="7"/>
    <x v="1"/>
    <x v="7"/>
    <x v="0"/>
    <x v="3"/>
    <n v="24"/>
    <n v="95000"/>
    <n v="2280000"/>
    <x v="1"/>
    <x v="0"/>
  </r>
  <r>
    <x v="2"/>
    <x v="13"/>
    <x v="2"/>
    <x v="11"/>
    <x v="2"/>
    <x v="3"/>
    <n v="24"/>
    <n v="90000"/>
    <n v="2160000"/>
    <x v="0"/>
    <x v="2"/>
  </r>
  <r>
    <x v="1"/>
    <x v="17"/>
    <x v="1"/>
    <x v="5"/>
    <x v="1"/>
    <x v="1"/>
    <n v="19"/>
    <n v="50000"/>
    <n v="950000"/>
    <x v="2"/>
    <x v="1"/>
  </r>
  <r>
    <x v="2"/>
    <x v="11"/>
    <x v="2"/>
    <x v="11"/>
    <x v="2"/>
    <x v="3"/>
    <n v="21"/>
    <n v="90000"/>
    <n v="1890000"/>
    <x v="0"/>
    <x v="2"/>
  </r>
  <r>
    <x v="0"/>
    <x v="8"/>
    <x v="0"/>
    <x v="0"/>
    <x v="1"/>
    <x v="4"/>
    <n v="32"/>
    <n v="45000"/>
    <n v="1440000"/>
    <x v="1"/>
    <x v="0"/>
  </r>
  <r>
    <x v="0"/>
    <x v="15"/>
    <x v="0"/>
    <x v="8"/>
    <x v="2"/>
    <x v="2"/>
    <n v="22"/>
    <n v="40000"/>
    <n v="880000"/>
    <x v="2"/>
    <x v="2"/>
  </r>
  <r>
    <x v="2"/>
    <x v="2"/>
    <x v="2"/>
    <x v="9"/>
    <x v="0"/>
    <x v="5"/>
    <n v="33"/>
    <n v="55000"/>
    <n v="1815000"/>
    <x v="0"/>
    <x v="0"/>
  </r>
  <r>
    <x v="1"/>
    <x v="14"/>
    <x v="2"/>
    <x v="11"/>
    <x v="1"/>
    <x v="7"/>
    <n v="10"/>
    <n v="35000"/>
    <n v="350000"/>
    <x v="0"/>
    <x v="1"/>
  </r>
  <r>
    <x v="3"/>
    <x v="18"/>
    <x v="3"/>
    <x v="3"/>
    <x v="0"/>
    <x v="3"/>
    <n v="28"/>
    <n v="95000"/>
    <n v="2660000"/>
    <x v="2"/>
    <x v="0"/>
  </r>
  <r>
    <x v="2"/>
    <x v="6"/>
    <x v="2"/>
    <x v="9"/>
    <x v="1"/>
    <x v="2"/>
    <n v="16"/>
    <n v="45000"/>
    <n v="720000"/>
    <x v="1"/>
    <x v="2"/>
  </r>
  <r>
    <x v="3"/>
    <x v="12"/>
    <x v="3"/>
    <x v="4"/>
    <x v="2"/>
    <x v="6"/>
    <n v="12"/>
    <n v="30000"/>
    <n v="360000"/>
    <x v="0"/>
    <x v="2"/>
  </r>
  <r>
    <x v="0"/>
    <x v="0"/>
    <x v="0"/>
    <x v="0"/>
    <x v="0"/>
    <x v="0"/>
    <n v="13"/>
    <n v="70000"/>
    <n v="910000"/>
    <x v="2"/>
    <x v="0"/>
  </r>
  <r>
    <x v="3"/>
    <x v="3"/>
    <x v="3"/>
    <x v="3"/>
    <x v="1"/>
    <x v="1"/>
    <n v="21"/>
    <n v="50000"/>
    <n v="1050000"/>
    <x v="2"/>
    <x v="1"/>
  </r>
  <r>
    <x v="2"/>
    <x v="9"/>
    <x v="2"/>
    <x v="2"/>
    <x v="2"/>
    <x v="2"/>
    <n v="31"/>
    <n v="40000"/>
    <n v="1240000"/>
    <x v="0"/>
    <x v="2"/>
  </r>
  <r>
    <x v="1"/>
    <x v="5"/>
    <x v="1"/>
    <x v="1"/>
    <x v="0"/>
    <x v="3"/>
    <n v="37"/>
    <n v="95000"/>
    <n v="3515000"/>
    <x v="2"/>
    <x v="1"/>
  </r>
  <r>
    <x v="1"/>
    <x v="1"/>
    <x v="1"/>
    <x v="5"/>
    <x v="1"/>
    <x v="1"/>
    <n v="11"/>
    <n v="50000"/>
    <n v="550000"/>
    <x v="0"/>
    <x v="2"/>
  </r>
  <r>
    <x v="2"/>
    <x v="9"/>
    <x v="2"/>
    <x v="2"/>
    <x v="0"/>
    <x v="0"/>
    <n v="41"/>
    <n v="70000"/>
    <n v="2870000"/>
    <x v="0"/>
    <x v="1"/>
  </r>
  <r>
    <x v="2"/>
    <x v="6"/>
    <x v="2"/>
    <x v="6"/>
    <x v="2"/>
    <x v="2"/>
    <n v="12"/>
    <n v="40000"/>
    <n v="480000"/>
    <x v="2"/>
    <x v="1"/>
  </r>
  <r>
    <x v="1"/>
    <x v="7"/>
    <x v="1"/>
    <x v="10"/>
    <x v="2"/>
    <x v="6"/>
    <n v="23"/>
    <n v="30000"/>
    <n v="690000"/>
    <x v="1"/>
    <x v="2"/>
  </r>
  <r>
    <x v="2"/>
    <x v="6"/>
    <x v="2"/>
    <x v="6"/>
    <x v="0"/>
    <x v="0"/>
    <n v="23"/>
    <n v="70000"/>
    <n v="1610000"/>
    <x v="0"/>
    <x v="0"/>
  </r>
  <r>
    <x v="0"/>
    <x v="19"/>
    <x v="0"/>
    <x v="12"/>
    <x v="1"/>
    <x v="1"/>
    <n v="33"/>
    <n v="50000"/>
    <n v="1650000"/>
    <x v="2"/>
    <x v="0"/>
  </r>
  <r>
    <x v="3"/>
    <x v="4"/>
    <x v="3"/>
    <x v="4"/>
    <x v="2"/>
    <x v="8"/>
    <n v="23"/>
    <n v="35000"/>
    <n v="805000"/>
    <x v="1"/>
    <x v="2"/>
  </r>
  <r>
    <x v="1"/>
    <x v="14"/>
    <x v="1"/>
    <x v="1"/>
    <x v="0"/>
    <x v="5"/>
    <n v="42"/>
    <n v="55000"/>
    <n v="2310000"/>
    <x v="0"/>
    <x v="1"/>
  </r>
  <r>
    <x v="2"/>
    <x v="9"/>
    <x v="2"/>
    <x v="11"/>
    <x v="1"/>
    <x v="2"/>
    <n v="19"/>
    <n v="45000"/>
    <n v="855000"/>
    <x v="0"/>
    <x v="1"/>
  </r>
  <r>
    <x v="1"/>
    <x v="17"/>
    <x v="1"/>
    <x v="7"/>
    <x v="2"/>
    <x v="8"/>
    <n v="27"/>
    <n v="35000"/>
    <n v="945000"/>
    <x v="1"/>
    <x v="0"/>
  </r>
  <r>
    <x v="0"/>
    <x v="19"/>
    <x v="0"/>
    <x v="12"/>
    <x v="0"/>
    <x v="3"/>
    <n v="31"/>
    <n v="95000"/>
    <n v="2945000"/>
    <x v="2"/>
    <x v="1"/>
  </r>
  <r>
    <x v="3"/>
    <x v="18"/>
    <x v="3"/>
    <x v="3"/>
    <x v="1"/>
    <x v="1"/>
    <n v="29"/>
    <n v="50000"/>
    <n v="1450000"/>
    <x v="2"/>
    <x v="2"/>
  </r>
  <r>
    <x v="1"/>
    <x v="17"/>
    <x v="1"/>
    <x v="5"/>
    <x v="0"/>
    <x v="3"/>
    <n v="24"/>
    <n v="95000"/>
    <n v="2280000"/>
    <x v="0"/>
    <x v="1"/>
  </r>
  <r>
    <x v="2"/>
    <x v="6"/>
    <x v="2"/>
    <x v="9"/>
    <x v="2"/>
    <x v="3"/>
    <n v="16"/>
    <n v="90000"/>
    <n v="1440000"/>
    <x v="0"/>
    <x v="0"/>
  </r>
  <r>
    <x v="0"/>
    <x v="8"/>
    <x v="0"/>
    <x v="12"/>
    <x v="1"/>
    <x v="2"/>
    <n v="19"/>
    <n v="45000"/>
    <n v="855000"/>
    <x v="1"/>
    <x v="2"/>
  </r>
  <r>
    <x v="3"/>
    <x v="18"/>
    <x v="3"/>
    <x v="3"/>
    <x v="2"/>
    <x v="2"/>
    <n v="13"/>
    <n v="40000"/>
    <n v="520000"/>
    <x v="1"/>
    <x v="0"/>
  </r>
  <r>
    <x v="0"/>
    <x v="15"/>
    <x v="0"/>
    <x v="0"/>
    <x v="1"/>
    <x v="4"/>
    <n v="20"/>
    <n v="45000"/>
    <n v="900000"/>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79BD05-D52F-4F7F-A9D8-C4638544B95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8" firstHeaderRow="1" firstDataRow="1" firstDataCol="1"/>
  <pivotFields count="11">
    <pivotField showAll="0">
      <items count="5">
        <item x="3"/>
        <item x="0"/>
        <item x="2"/>
        <item x="1"/>
        <item t="default"/>
      </items>
    </pivotField>
    <pivotField showAll="0"/>
    <pivotField axis="axisRow" showAll="0">
      <items count="5">
        <item x="1"/>
        <item x="0"/>
        <item x="3"/>
        <item x="2"/>
        <item t="default"/>
      </items>
    </pivotField>
    <pivotField showAll="0">
      <items count="14">
        <item x="10"/>
        <item x="4"/>
        <item x="8"/>
        <item x="3"/>
        <item x="12"/>
        <item x="9"/>
        <item x="2"/>
        <item x="1"/>
        <item x="6"/>
        <item x="5"/>
        <item x="11"/>
        <item x="7"/>
        <item x="0"/>
        <item t="default"/>
      </items>
    </pivotField>
    <pivotField showAll="0"/>
    <pivotField showAll="0">
      <items count="10">
        <item x="3"/>
        <item x="0"/>
        <item x="5"/>
        <item x="4"/>
        <item x="6"/>
        <item x="8"/>
        <item x="2"/>
        <item x="1"/>
        <item x="7"/>
        <item t="default"/>
      </items>
    </pivotField>
    <pivotField showAll="0"/>
    <pivotField showAll="0"/>
    <pivotField dataField="1" showAll="0"/>
    <pivotField showAll="0">
      <items count="4">
        <item x="0"/>
        <item x="1"/>
        <item x="2"/>
        <item t="default"/>
      </items>
    </pivotField>
    <pivotField showAll="0">
      <items count="4">
        <item x="0"/>
        <item x="1"/>
        <item x="2"/>
        <item t="default"/>
      </items>
    </pivotField>
  </pivotFields>
  <rowFields count="1">
    <field x="2"/>
  </rowFields>
  <rowItems count="5">
    <i>
      <x/>
    </i>
    <i>
      <x v="1"/>
    </i>
    <i>
      <x v="2"/>
    </i>
    <i>
      <x v="3"/>
    </i>
    <i t="grand">
      <x/>
    </i>
  </rowItems>
  <colItems count="1">
    <i/>
  </colItems>
  <dataFields count="1">
    <dataField name="Sum of Amount" fld="8" baseField="0" baseItem="0"/>
  </dataFields>
  <chartFormats count="10">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2" count="1" selected="0">
            <x v="0"/>
          </reference>
        </references>
      </pivotArea>
    </chartFormat>
    <chartFormat chart="5" format="7">
      <pivotArea type="data" outline="0" fieldPosition="0">
        <references count="2">
          <reference field="4294967294" count="1" selected="0">
            <x v="0"/>
          </reference>
          <reference field="2" count="1" selected="0">
            <x v="1"/>
          </reference>
        </references>
      </pivotArea>
    </chartFormat>
    <chartFormat chart="5" format="8">
      <pivotArea type="data" outline="0" fieldPosition="0">
        <references count="2">
          <reference field="4294967294" count="1" selected="0">
            <x v="0"/>
          </reference>
          <reference field="2" count="1" selected="0">
            <x v="2"/>
          </reference>
        </references>
      </pivotArea>
    </chartFormat>
    <chartFormat chart="5" format="9">
      <pivotArea type="data" outline="0" fieldPosition="0">
        <references count="2">
          <reference field="4294967294" count="1" selected="0">
            <x v="0"/>
          </reference>
          <reference field="2" count="1" selected="0">
            <x v="3"/>
          </reference>
        </references>
      </pivotArea>
    </chartFormat>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2" count="1" selected="0">
            <x v="0"/>
          </reference>
        </references>
      </pivotArea>
    </chartFormat>
    <chartFormat chart="6" format="12">
      <pivotArea type="data" outline="0" fieldPosition="0">
        <references count="2">
          <reference field="4294967294" count="1" selected="0">
            <x v="0"/>
          </reference>
          <reference field="2" count="1" selected="0">
            <x v="1"/>
          </reference>
        </references>
      </pivotArea>
    </chartFormat>
    <chartFormat chart="6" format="13">
      <pivotArea type="data" outline="0" fieldPosition="0">
        <references count="2">
          <reference field="4294967294" count="1" selected="0">
            <x v="0"/>
          </reference>
          <reference field="2" count="1" selected="0">
            <x v="2"/>
          </reference>
        </references>
      </pivotArea>
    </chartFormat>
    <chartFormat chart="6" format="1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500D97-A903-47FD-A7D5-F6E9DE1B232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20" firstHeaderRow="1" firstDataRow="1" firstDataCol="1"/>
  <pivotFields count="11">
    <pivotField axis="axisRow" showAll="0">
      <items count="5">
        <item x="3"/>
        <item x="0"/>
        <item x="2"/>
        <item x="1"/>
        <item t="default"/>
      </items>
    </pivotField>
    <pivotField showAll="0"/>
    <pivotField showAll="0"/>
    <pivotField showAll="0">
      <items count="14">
        <item x="10"/>
        <item x="4"/>
        <item x="8"/>
        <item x="3"/>
        <item x="12"/>
        <item x="9"/>
        <item x="2"/>
        <item x="1"/>
        <item x="6"/>
        <item x="5"/>
        <item x="11"/>
        <item x="7"/>
        <item x="0"/>
        <item t="default"/>
      </items>
    </pivotField>
    <pivotField axis="axisRow" showAll="0">
      <items count="4">
        <item x="0"/>
        <item x="2"/>
        <item x="1"/>
        <item t="default"/>
      </items>
    </pivotField>
    <pivotField showAll="0">
      <items count="10">
        <item x="3"/>
        <item x="0"/>
        <item x="5"/>
        <item x="4"/>
        <item x="6"/>
        <item x="8"/>
        <item x="2"/>
        <item x="1"/>
        <item x="7"/>
        <item t="default"/>
      </items>
    </pivotField>
    <pivotField showAll="0"/>
    <pivotField showAll="0"/>
    <pivotField dataField="1" showAll="0"/>
    <pivotField showAll="0">
      <items count="4">
        <item x="0"/>
        <item x="1"/>
        <item x="2"/>
        <item t="default"/>
      </items>
    </pivotField>
    <pivotField showAll="0">
      <items count="4">
        <item x="0"/>
        <item x="1"/>
        <item x="2"/>
        <item t="default"/>
      </items>
    </pivotField>
  </pivotFields>
  <rowFields count="2">
    <field x="0"/>
    <field x="4"/>
  </rowFields>
  <rowItems count="17">
    <i>
      <x/>
    </i>
    <i r="1">
      <x/>
    </i>
    <i r="1">
      <x v="1"/>
    </i>
    <i r="1">
      <x v="2"/>
    </i>
    <i>
      <x v="1"/>
    </i>
    <i r="1">
      <x/>
    </i>
    <i r="1">
      <x v="1"/>
    </i>
    <i r="1">
      <x v="2"/>
    </i>
    <i>
      <x v="2"/>
    </i>
    <i r="1">
      <x/>
    </i>
    <i r="1">
      <x v="1"/>
    </i>
    <i r="1">
      <x v="2"/>
    </i>
    <i>
      <x v="3"/>
    </i>
    <i r="1">
      <x/>
    </i>
    <i r="1">
      <x v="1"/>
    </i>
    <i r="1">
      <x v="2"/>
    </i>
    <i t="grand">
      <x/>
    </i>
  </rowItems>
  <colItems count="1">
    <i/>
  </colItems>
  <dataFields count="1">
    <dataField name="Sum of Amount" fld="8"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DABA4A-150B-438C-A9A4-67FD7B73CD9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7" firstHeaderRow="1" firstDataRow="1" firstDataCol="1"/>
  <pivotFields count="11">
    <pivotField showAll="0">
      <items count="5">
        <item x="3"/>
        <item x="0"/>
        <item x="2"/>
        <item x="1"/>
        <item t="default"/>
      </items>
    </pivotField>
    <pivotField showAll="0"/>
    <pivotField showAll="0"/>
    <pivotField axis="axisRow" showAll="0">
      <items count="14">
        <item x="10"/>
        <item x="4"/>
        <item x="8"/>
        <item x="3"/>
        <item x="12"/>
        <item x="9"/>
        <item x="2"/>
        <item x="1"/>
        <item x="6"/>
        <item x="5"/>
        <item x="11"/>
        <item x="7"/>
        <item x="0"/>
        <item t="default"/>
      </items>
    </pivotField>
    <pivotField showAll="0"/>
    <pivotField showAll="0">
      <items count="10">
        <item x="3"/>
        <item x="0"/>
        <item x="5"/>
        <item x="4"/>
        <item x="6"/>
        <item x="8"/>
        <item x="2"/>
        <item x="1"/>
        <item x="7"/>
        <item t="default"/>
      </items>
    </pivotField>
    <pivotField showAll="0"/>
    <pivotField showAll="0"/>
    <pivotField dataField="1" showAll="0"/>
    <pivotField showAll="0">
      <items count="4">
        <item x="0"/>
        <item x="1"/>
        <item x="2"/>
        <item t="default"/>
      </items>
    </pivotField>
    <pivotField showAll="0">
      <items count="4">
        <item x="0"/>
        <item x="1"/>
        <item x="2"/>
        <item t="default"/>
      </items>
    </pivotField>
  </pivotFields>
  <rowFields count="1">
    <field x="3"/>
  </rowFields>
  <rowItems count="14">
    <i>
      <x/>
    </i>
    <i>
      <x v="1"/>
    </i>
    <i>
      <x v="2"/>
    </i>
    <i>
      <x v="3"/>
    </i>
    <i>
      <x v="4"/>
    </i>
    <i>
      <x v="5"/>
    </i>
    <i>
      <x v="6"/>
    </i>
    <i>
      <x v="7"/>
    </i>
    <i>
      <x v="8"/>
    </i>
    <i>
      <x v="9"/>
    </i>
    <i>
      <x v="10"/>
    </i>
    <i>
      <x v="11"/>
    </i>
    <i>
      <x v="12"/>
    </i>
    <i t="grand">
      <x/>
    </i>
  </rowItems>
  <colItems count="1">
    <i/>
  </colItems>
  <dataFields count="1">
    <dataField name="Sum of Amount" fld="8"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E5E38E-6203-4929-8988-EA813A84A94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3" firstHeaderRow="1" firstDataRow="1" firstDataCol="1"/>
  <pivotFields count="11">
    <pivotField showAll="0">
      <items count="5">
        <item x="3"/>
        <item x="0"/>
        <item x="2"/>
        <item x="1"/>
        <item t="default"/>
      </items>
    </pivotField>
    <pivotField showAll="0"/>
    <pivotField showAll="0"/>
    <pivotField showAll="0">
      <items count="14">
        <item x="10"/>
        <item x="4"/>
        <item x="8"/>
        <item x="3"/>
        <item x="12"/>
        <item x="9"/>
        <item x="2"/>
        <item x="1"/>
        <item x="6"/>
        <item x="5"/>
        <item x="11"/>
        <item x="7"/>
        <item x="0"/>
        <item t="default"/>
      </items>
    </pivotField>
    <pivotField showAll="0"/>
    <pivotField axis="axisRow" showAll="0">
      <items count="10">
        <item x="3"/>
        <item x="0"/>
        <item x="5"/>
        <item x="4"/>
        <item x="6"/>
        <item x="8"/>
        <item x="2"/>
        <item x="1"/>
        <item x="7"/>
        <item t="default"/>
      </items>
    </pivotField>
    <pivotField showAll="0"/>
    <pivotField showAll="0"/>
    <pivotField dataField="1" showAll="0"/>
    <pivotField showAll="0">
      <items count="4">
        <item x="0"/>
        <item x="1"/>
        <item x="2"/>
        <item t="default"/>
      </items>
    </pivotField>
    <pivotField showAll="0">
      <items count="4">
        <item x="0"/>
        <item x="1"/>
        <item x="2"/>
        <item t="default"/>
      </items>
    </pivotField>
  </pivotFields>
  <rowFields count="1">
    <field x="5"/>
  </rowFields>
  <rowItems count="10">
    <i>
      <x/>
    </i>
    <i>
      <x v="1"/>
    </i>
    <i>
      <x v="2"/>
    </i>
    <i>
      <x v="3"/>
    </i>
    <i>
      <x v="4"/>
    </i>
    <i>
      <x v="5"/>
    </i>
    <i>
      <x v="6"/>
    </i>
    <i>
      <x v="7"/>
    </i>
    <i>
      <x v="8"/>
    </i>
    <i t="grand">
      <x/>
    </i>
  </rowItems>
  <colItems count="1">
    <i/>
  </colItems>
  <dataFields count="1">
    <dataField name="Sum of Amount" fld="8"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FDC720-5D21-4404-8A3E-EBEB562E8F7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7" firstHeaderRow="1" firstDataRow="1" firstDataCol="1"/>
  <pivotFields count="11">
    <pivotField showAll="0">
      <items count="5">
        <item x="3"/>
        <item x="0"/>
        <item x="2"/>
        <item x="1"/>
        <item t="default"/>
      </items>
    </pivotField>
    <pivotField showAll="0"/>
    <pivotField showAll="0"/>
    <pivotField showAll="0">
      <items count="14">
        <item x="10"/>
        <item x="4"/>
        <item x="8"/>
        <item x="3"/>
        <item x="12"/>
        <item x="9"/>
        <item x="2"/>
        <item x="1"/>
        <item x="6"/>
        <item x="5"/>
        <item x="11"/>
        <item x="7"/>
        <item x="0"/>
        <item t="default"/>
      </items>
    </pivotField>
    <pivotField axis="axisRow" showAll="0">
      <items count="4">
        <item x="0"/>
        <item x="2"/>
        <item x="1"/>
        <item t="default"/>
      </items>
    </pivotField>
    <pivotField showAll="0">
      <items count="10">
        <item x="3"/>
        <item x="0"/>
        <item x="5"/>
        <item x="4"/>
        <item x="6"/>
        <item x="8"/>
        <item x="2"/>
        <item x="1"/>
        <item x="7"/>
        <item t="default"/>
      </items>
    </pivotField>
    <pivotField showAll="0"/>
    <pivotField showAll="0"/>
    <pivotField dataField="1" showAll="0"/>
    <pivotField showAll="0">
      <items count="4">
        <item x="0"/>
        <item x="1"/>
        <item x="2"/>
        <item t="default"/>
      </items>
    </pivotField>
    <pivotField showAll="0">
      <items count="4">
        <item x="0"/>
        <item x="1"/>
        <item x="2"/>
        <item t="default"/>
      </items>
    </pivotField>
  </pivotFields>
  <rowFields count="1">
    <field x="4"/>
  </rowFields>
  <rowItems count="4">
    <i>
      <x/>
    </i>
    <i>
      <x v="1"/>
    </i>
    <i>
      <x v="2"/>
    </i>
    <i t="grand">
      <x/>
    </i>
  </rowItems>
  <colItems count="1">
    <i/>
  </colItems>
  <dataFields count="1">
    <dataField name="Sum of Amount" fld="8" baseField="0" baseItem="0"/>
  </dataFields>
  <chartFormats count="4">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4" count="1" selected="0">
            <x v="0"/>
          </reference>
        </references>
      </pivotArea>
    </chartFormat>
    <chartFormat chart="9" format="10">
      <pivotArea type="data" outline="0" fieldPosition="0">
        <references count="2">
          <reference field="4294967294" count="1" selected="0">
            <x v="0"/>
          </reference>
          <reference field="4" count="1" selected="0">
            <x v="1"/>
          </reference>
        </references>
      </pivotArea>
    </chartFormat>
    <chartFormat chart="9" format="1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455C42-C90F-46F7-A29C-4A0372F0185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24" firstHeaderRow="1" firstDataRow="1" firstDataCol="1"/>
  <pivotFields count="11">
    <pivotField showAll="0">
      <items count="5">
        <item x="3"/>
        <item x="0"/>
        <item x="2"/>
        <item x="1"/>
        <item t="default"/>
      </items>
    </pivotField>
    <pivotField axis="axisRow" showAll="0">
      <items count="21">
        <item x="12"/>
        <item x="3"/>
        <item x="10"/>
        <item x="17"/>
        <item x="13"/>
        <item x="7"/>
        <item x="6"/>
        <item x="18"/>
        <item x="15"/>
        <item x="1"/>
        <item x="4"/>
        <item x="2"/>
        <item x="9"/>
        <item x="16"/>
        <item x="5"/>
        <item x="0"/>
        <item x="14"/>
        <item x="11"/>
        <item x="8"/>
        <item x="19"/>
        <item t="default"/>
      </items>
    </pivotField>
    <pivotField showAll="0"/>
    <pivotField showAll="0">
      <items count="14">
        <item x="10"/>
        <item x="4"/>
        <item x="8"/>
        <item x="3"/>
        <item x="12"/>
        <item x="9"/>
        <item x="2"/>
        <item x="1"/>
        <item x="6"/>
        <item x="5"/>
        <item x="11"/>
        <item x="7"/>
        <item x="0"/>
        <item t="default"/>
      </items>
    </pivotField>
    <pivotField showAll="0"/>
    <pivotField showAll="0">
      <items count="10">
        <item x="3"/>
        <item x="0"/>
        <item x="5"/>
        <item x="4"/>
        <item x="6"/>
        <item x="8"/>
        <item x="2"/>
        <item x="1"/>
        <item x="7"/>
        <item t="default"/>
      </items>
    </pivotField>
    <pivotField showAll="0"/>
    <pivotField showAll="0"/>
    <pivotField dataField="1" showAll="0"/>
    <pivotField showAll="0">
      <items count="4">
        <item x="0"/>
        <item x="1"/>
        <item x="2"/>
        <item t="default"/>
      </items>
    </pivotField>
    <pivotField showAll="0">
      <items count="4">
        <item x="0"/>
        <item x="1"/>
        <item x="2"/>
        <item t="default"/>
      </items>
    </pivotField>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Amount" fld="8"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60BFBF-DF4F-4F44-9D00-4218DCDC03A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7" firstHeaderRow="1" firstDataRow="1" firstDataCol="1" rowPageCount="1" colPageCount="1"/>
  <pivotFields count="11">
    <pivotField showAll="0">
      <items count="5">
        <item x="3"/>
        <item x="0"/>
        <item x="2"/>
        <item x="1"/>
        <item t="default"/>
      </items>
    </pivotField>
    <pivotField showAll="0"/>
    <pivotField showAll="0"/>
    <pivotField showAll="0">
      <items count="14">
        <item x="10"/>
        <item x="4"/>
        <item x="8"/>
        <item x="3"/>
        <item x="12"/>
        <item x="9"/>
        <item x="2"/>
        <item x="1"/>
        <item x="6"/>
        <item x="5"/>
        <item x="11"/>
        <item x="7"/>
        <item x="0"/>
        <item t="default"/>
      </items>
    </pivotField>
    <pivotField showAll="0"/>
    <pivotField showAll="0">
      <items count="10">
        <item x="3"/>
        <item x="0"/>
        <item x="5"/>
        <item x="4"/>
        <item x="6"/>
        <item x="8"/>
        <item x="2"/>
        <item x="1"/>
        <item x="7"/>
        <item t="default"/>
      </items>
    </pivotField>
    <pivotField showAll="0"/>
    <pivotField showAll="0"/>
    <pivotField dataField="1" showAll="0"/>
    <pivotField axis="axisPage" showAll="0">
      <items count="4">
        <item x="0"/>
        <item x="1"/>
        <item x="2"/>
        <item t="default"/>
      </items>
    </pivotField>
    <pivotField axis="axisRow" showAll="0">
      <items count="4">
        <item x="0"/>
        <item x="1"/>
        <item x="2"/>
        <item t="default"/>
      </items>
    </pivotField>
  </pivotFields>
  <rowFields count="1">
    <field x="10"/>
  </rowFields>
  <rowItems count="4">
    <i>
      <x/>
    </i>
    <i>
      <x v="1"/>
    </i>
    <i>
      <x v="2"/>
    </i>
    <i t="grand">
      <x/>
    </i>
  </rowItems>
  <colItems count="1">
    <i/>
  </colItems>
  <pageFields count="1">
    <pageField fld="9" hier="-1"/>
  </pageFields>
  <dataFields count="1">
    <dataField name="Sum of Amount" fld="8" baseField="0" baseItem="0"/>
  </dataFields>
  <chartFormats count="4">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10" count="1" selected="0">
            <x v="0"/>
          </reference>
        </references>
      </pivotArea>
    </chartFormat>
    <chartFormat chart="8" format="10">
      <pivotArea type="data" outline="0" fieldPosition="0">
        <references count="2">
          <reference field="4294967294" count="1" selected="0">
            <x v="0"/>
          </reference>
          <reference field="10" count="1" selected="0">
            <x v="1"/>
          </reference>
        </references>
      </pivotArea>
    </chartFormat>
    <chartFormat chart="8" format="1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9FB1178A-191B-47B3-B34D-186F2866950C}" sourceName="Manager">
  <pivotTables>
    <pivotTable tabId="2" name="PivotTable1"/>
    <pivotTable tabId="7" name="PivotTable4"/>
    <pivotTable tabId="6" name="PivotTable3"/>
    <pivotTable tabId="5" name="PivotTable2"/>
    <pivotTable tabId="9" name="PivotTable1"/>
    <pivotTable tabId="10" name="PivotTable2"/>
    <pivotTable tabId="4" name="PivotTable1"/>
  </pivotTables>
  <data>
    <tabular pivotCacheId="1419020785">
      <items count="4">
        <i x="3" s="1"/>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5AAA487E-6128-4A9E-915C-091532F40636}" sourceName="Months">
  <pivotTables>
    <pivotTable tabId="9" name="PivotTable1"/>
    <pivotTable tabId="7" name="PivotTable4"/>
    <pivotTable tabId="6" name="PivotTable3"/>
    <pivotTable tabId="5" name="PivotTable2"/>
    <pivotTable tabId="2" name="PivotTable1"/>
    <pivotTable tabId="10" name="PivotTable2"/>
    <pivotTable tabId="4" name="PivotTable1"/>
  </pivotTables>
  <data>
    <tabular pivotCacheId="1419020785">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330EF72B-0242-461A-9278-DB87DFCF9E1D}" sourceName="City">
  <pivotTables>
    <pivotTable tabId="10" name="PivotTable2"/>
    <pivotTable tabId="7" name="PivotTable4"/>
    <pivotTable tabId="6" name="PivotTable3"/>
    <pivotTable tabId="5" name="PivotTable2"/>
    <pivotTable tabId="2" name="PivotTable1"/>
    <pivotTable tabId="9" name="PivotTable1"/>
    <pivotTable tabId="4" name="PivotTable1"/>
  </pivotTables>
  <data>
    <tabular pivotCacheId="1419020785">
      <items count="13">
        <i x="10" s="1"/>
        <i x="4" s="1"/>
        <i x="8" s="1"/>
        <i x="3" s="1"/>
        <i x="12" s="1"/>
        <i x="9" s="1"/>
        <i x="2" s="1"/>
        <i x="1" s="1"/>
        <i x="6" s="1"/>
        <i x="5" s="1"/>
        <i x="11" s="1"/>
        <i x="7"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DBE7608-9CC4-43F3-B1C5-CC987854EBFF}" sourceName="Year">
  <pivotTables>
    <pivotTable tabId="10" name="PivotTable2"/>
    <pivotTable tabId="7" name="PivotTable4"/>
    <pivotTable tabId="6" name="PivotTable3"/>
    <pivotTable tabId="5" name="PivotTable2"/>
    <pivotTable tabId="2" name="PivotTable1"/>
    <pivotTable tabId="9" name="PivotTable1"/>
    <pivotTable tabId="4" name="PivotTable1"/>
  </pivotTables>
  <data>
    <tabular pivotCacheId="1419020785">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CE243E8F-2313-4716-948E-5760E4FFC1D4}" sourceName="Product">
  <pivotTables>
    <pivotTable tabId="2" name="PivotTable1"/>
    <pivotTable tabId="7" name="PivotTable4"/>
    <pivotTable tabId="6" name="PivotTable3"/>
    <pivotTable tabId="5" name="PivotTable2"/>
    <pivotTable tabId="9" name="PivotTable1"/>
    <pivotTable tabId="10" name="PivotTable2"/>
    <pivotTable tabId="4" name="PivotTable1"/>
  </pivotTables>
  <data>
    <tabular pivotCacheId="1419020785">
      <items count="9">
        <i x="3" s="1"/>
        <i x="0" s="1"/>
        <i x="5" s="1"/>
        <i x="4" s="1"/>
        <i x="6" s="1"/>
        <i x="8" s="1"/>
        <i x="2" s="1"/>
        <i x="1"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nager" xr10:uid="{184034E4-E019-4877-936F-29693CF94CC8}" cache="Slicer_Manager" caption="Manager" columnCount="2" style="SlicerStyleOther1" rowHeight="216000"/>
  <slicer name="Months" xr10:uid="{544A6E40-8FED-499A-9C43-F94AC140E1E3}" cache="Slicer_Months" caption="Months" columnCount="3" style="SlicerStyleLight2" rowHeight="252000"/>
  <slicer name="City" xr10:uid="{F90F688F-309E-4508-8763-6D72A58D373F}" cache="Slicer_City" caption="City" columnCount="3" style="SlicerStyleDark2" rowHeight="216000"/>
  <slicer name="Year" xr10:uid="{07FB86C6-D2E7-47C6-89DE-C1FA7D721E5F}" cache="Slicer_Year" caption="Year" columnCount="3" style="SlicerStyleDark5" rowHeight="252000"/>
  <slicer name="Product" xr10:uid="{1CAD1687-0C97-4810-A549-39ED403D8245}" cache="Slicer_Product" caption="Product" columnCount="3" style="SlicerStyleDark6"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0A1619-F49B-4A0B-89F9-B7382C05DC7A}" name="Table1" displayName="Table1" ref="C1:M51" totalsRowShown="0" headerRowDxfId="14" headerRowBorderDxfId="13" tableBorderDxfId="12" totalsRowBorderDxfId="11">
  <autoFilter ref="C1:M51" xr:uid="{150A1619-F49B-4A0B-89F9-B7382C05DC7A}"/>
  <tableColumns count="11">
    <tableColumn id="1" xr3:uid="{FA541016-DEB9-408F-B64A-6FDE77800D79}" name="Manager" dataDxfId="10"/>
    <tableColumn id="2" xr3:uid="{29E82534-68F0-4F09-A226-6C77319D73DD}" name="Salesman" dataDxfId="9"/>
    <tableColumn id="3" xr3:uid="{C7DA2DE5-CBBE-4E56-B917-2A85F884064C}" name="Zone" dataDxfId="8"/>
    <tableColumn id="4" xr3:uid="{D5A5CE37-BCDB-457C-ACD6-DDA8D63BAFC3}" name="City" dataDxfId="7"/>
    <tableColumn id="5" xr3:uid="{F9346679-C615-461E-A2D9-725670B63E98}" name="TOP" dataDxfId="6"/>
    <tableColumn id="6" xr3:uid="{053E4BDA-DF61-46D0-9FA4-282DF1A3B86F}" name="Product" dataDxfId="5"/>
    <tableColumn id="7" xr3:uid="{668B034E-ADF4-40B3-8DD1-1B09577E2702}" name="Qnty" dataDxfId="4"/>
    <tableColumn id="8" xr3:uid="{C5D7CE62-E4A3-44CE-A743-257347743541}" name="Price" dataDxfId="3"/>
    <tableColumn id="9" xr3:uid="{462F2327-4B4A-4766-A350-80DD6D1C83B7}" name="Amount" dataDxfId="2">
      <calculatedColumnFormula>I2*J2</calculatedColumnFormula>
    </tableColumn>
    <tableColumn id="10" xr3:uid="{D9204997-CB52-4F40-987B-431F3AB231EC}" name="Year" dataDxfId="1"/>
    <tableColumn id="11" xr3:uid="{2E63CE6D-396D-4490-9126-FE4D85890E76}" name="Months"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0B0E8-63FF-4903-A389-C6A4ACB07038}">
  <dimension ref="A3:B8"/>
  <sheetViews>
    <sheetView workbookViewId="0">
      <selection activeCell="O22" sqref="O22"/>
    </sheetView>
  </sheetViews>
  <sheetFormatPr defaultRowHeight="14.4" x14ac:dyDescent="0.3"/>
  <cols>
    <col min="1" max="1" width="12.5546875" bestFit="1" customWidth="1"/>
    <col min="2" max="2" width="14.44140625" bestFit="1" customWidth="1"/>
  </cols>
  <sheetData>
    <row r="3" spans="1:2" x14ac:dyDescent="0.3">
      <c r="A3" s="11" t="s">
        <v>68</v>
      </c>
      <c r="B3" t="s">
        <v>67</v>
      </c>
    </row>
    <row r="4" spans="1:2" x14ac:dyDescent="0.3">
      <c r="A4" s="12" t="s">
        <v>36</v>
      </c>
      <c r="B4">
        <v>17040000</v>
      </c>
    </row>
    <row r="5" spans="1:2" x14ac:dyDescent="0.3">
      <c r="A5" s="12" t="s">
        <v>35</v>
      </c>
      <c r="B5">
        <v>15360000</v>
      </c>
    </row>
    <row r="6" spans="1:2" x14ac:dyDescent="0.3">
      <c r="A6" s="12" t="s">
        <v>38</v>
      </c>
      <c r="B6">
        <v>10970000</v>
      </c>
    </row>
    <row r="7" spans="1:2" x14ac:dyDescent="0.3">
      <c r="A7" s="12" t="s">
        <v>37</v>
      </c>
      <c r="B7">
        <v>20465000</v>
      </c>
    </row>
    <row r="8" spans="1:2" x14ac:dyDescent="0.3">
      <c r="A8" s="12" t="s">
        <v>69</v>
      </c>
      <c r="B8">
        <v>63835000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4E756-6C0A-425F-A67E-18816B6CAFBD}">
  <dimension ref="A3:B20"/>
  <sheetViews>
    <sheetView workbookViewId="0">
      <selection activeCell="O28" sqref="O28"/>
    </sheetView>
  </sheetViews>
  <sheetFormatPr defaultRowHeight="14.4" x14ac:dyDescent="0.3"/>
  <cols>
    <col min="1" max="1" width="12.5546875" bestFit="1" customWidth="1"/>
    <col min="2" max="2" width="14.44140625" bestFit="1" customWidth="1"/>
  </cols>
  <sheetData>
    <row r="3" spans="1:2" x14ac:dyDescent="0.3">
      <c r="A3" s="11" t="s">
        <v>68</v>
      </c>
      <c r="B3" t="s">
        <v>67</v>
      </c>
    </row>
    <row r="4" spans="1:2" x14ac:dyDescent="0.3">
      <c r="A4" s="12" t="s">
        <v>14</v>
      </c>
      <c r="B4">
        <v>10970000</v>
      </c>
    </row>
    <row r="5" spans="1:2" x14ac:dyDescent="0.3">
      <c r="A5" s="13" t="s">
        <v>52</v>
      </c>
      <c r="B5">
        <v>3360000</v>
      </c>
    </row>
    <row r="6" spans="1:2" x14ac:dyDescent="0.3">
      <c r="A6" s="13" t="s">
        <v>54</v>
      </c>
      <c r="B6">
        <v>3755000</v>
      </c>
    </row>
    <row r="7" spans="1:2" x14ac:dyDescent="0.3">
      <c r="A7" s="13" t="s">
        <v>53</v>
      </c>
      <c r="B7">
        <v>3855000</v>
      </c>
    </row>
    <row r="8" spans="1:2" x14ac:dyDescent="0.3">
      <c r="A8" s="12" t="s">
        <v>11</v>
      </c>
      <c r="B8">
        <v>15360000</v>
      </c>
    </row>
    <row r="9" spans="1:2" x14ac:dyDescent="0.3">
      <c r="A9" s="13" t="s">
        <v>52</v>
      </c>
      <c r="B9">
        <v>7755000</v>
      </c>
    </row>
    <row r="10" spans="1:2" x14ac:dyDescent="0.3">
      <c r="A10" s="13" t="s">
        <v>54</v>
      </c>
      <c r="B10">
        <v>2760000</v>
      </c>
    </row>
    <row r="11" spans="1:2" x14ac:dyDescent="0.3">
      <c r="A11" s="13" t="s">
        <v>53</v>
      </c>
      <c r="B11">
        <v>4845000</v>
      </c>
    </row>
    <row r="12" spans="1:2" x14ac:dyDescent="0.3">
      <c r="A12" s="12" t="s">
        <v>13</v>
      </c>
      <c r="B12">
        <v>20115000</v>
      </c>
    </row>
    <row r="13" spans="1:2" x14ac:dyDescent="0.3">
      <c r="A13" s="13" t="s">
        <v>52</v>
      </c>
      <c r="B13">
        <v>7670000</v>
      </c>
    </row>
    <row r="14" spans="1:2" x14ac:dyDescent="0.3">
      <c r="A14" s="13" t="s">
        <v>54</v>
      </c>
      <c r="B14">
        <v>9200000</v>
      </c>
    </row>
    <row r="15" spans="1:2" x14ac:dyDescent="0.3">
      <c r="A15" s="13" t="s">
        <v>53</v>
      </c>
      <c r="B15">
        <v>3245000</v>
      </c>
    </row>
    <row r="16" spans="1:2" x14ac:dyDescent="0.3">
      <c r="A16" s="12" t="s">
        <v>12</v>
      </c>
      <c r="B16">
        <v>17390000</v>
      </c>
    </row>
    <row r="17" spans="1:2" x14ac:dyDescent="0.3">
      <c r="A17" s="13" t="s">
        <v>52</v>
      </c>
      <c r="B17">
        <v>11045000</v>
      </c>
    </row>
    <row r="18" spans="1:2" x14ac:dyDescent="0.3">
      <c r="A18" s="13" t="s">
        <v>54</v>
      </c>
      <c r="B18">
        <v>2295000</v>
      </c>
    </row>
    <row r="19" spans="1:2" x14ac:dyDescent="0.3">
      <c r="A19" s="13" t="s">
        <v>53</v>
      </c>
      <c r="B19">
        <v>4050000</v>
      </c>
    </row>
    <row r="20" spans="1:2" x14ac:dyDescent="0.3">
      <c r="A20" s="12" t="s">
        <v>69</v>
      </c>
      <c r="B20">
        <v>63835000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DE33A-EA1D-48E7-AA89-126A53104DC2}">
  <dimension ref="A3:B17"/>
  <sheetViews>
    <sheetView workbookViewId="0">
      <selection activeCell="P4" sqref="P4"/>
    </sheetView>
  </sheetViews>
  <sheetFormatPr defaultRowHeight="14.4" x14ac:dyDescent="0.3"/>
  <cols>
    <col min="1" max="1" width="12.5546875" bestFit="1" customWidth="1"/>
    <col min="2" max="2" width="14.44140625" bestFit="1" customWidth="1"/>
  </cols>
  <sheetData>
    <row r="3" spans="1:2" x14ac:dyDescent="0.3">
      <c r="A3" s="11" t="s">
        <v>68</v>
      </c>
      <c r="B3" t="s">
        <v>67</v>
      </c>
    </row>
    <row r="4" spans="1:2" x14ac:dyDescent="0.3">
      <c r="A4" s="12" t="s">
        <v>49</v>
      </c>
      <c r="B4">
        <v>1610000</v>
      </c>
    </row>
    <row r="5" spans="1:2" x14ac:dyDescent="0.3">
      <c r="A5" s="12" t="s">
        <v>43</v>
      </c>
      <c r="B5">
        <v>2450000</v>
      </c>
    </row>
    <row r="6" spans="1:2" x14ac:dyDescent="0.3">
      <c r="A6" s="12" t="s">
        <v>47</v>
      </c>
      <c r="B6">
        <v>1840000</v>
      </c>
    </row>
    <row r="7" spans="1:2" x14ac:dyDescent="0.3">
      <c r="A7" s="12" t="s">
        <v>42</v>
      </c>
      <c r="B7">
        <v>8520000</v>
      </c>
    </row>
    <row r="8" spans="1:2" x14ac:dyDescent="0.3">
      <c r="A8" s="12" t="s">
        <v>51</v>
      </c>
      <c r="B8">
        <v>5450000</v>
      </c>
    </row>
    <row r="9" spans="1:2" x14ac:dyDescent="0.3">
      <c r="A9" s="12" t="s">
        <v>48</v>
      </c>
      <c r="B9">
        <v>5645000</v>
      </c>
    </row>
    <row r="10" spans="1:2" x14ac:dyDescent="0.3">
      <c r="A10" s="12" t="s">
        <v>41</v>
      </c>
      <c r="B10">
        <v>5470000</v>
      </c>
    </row>
    <row r="11" spans="1:2" x14ac:dyDescent="0.3">
      <c r="A11" s="12" t="s">
        <v>40</v>
      </c>
      <c r="B11">
        <v>7635000</v>
      </c>
    </row>
    <row r="12" spans="1:2" x14ac:dyDescent="0.3">
      <c r="A12" s="12" t="s">
        <v>45</v>
      </c>
      <c r="B12">
        <v>3490000</v>
      </c>
    </row>
    <row r="13" spans="1:2" x14ac:dyDescent="0.3">
      <c r="A13" s="12" t="s">
        <v>44</v>
      </c>
      <c r="B13">
        <v>4440000</v>
      </c>
    </row>
    <row r="14" spans="1:2" x14ac:dyDescent="0.3">
      <c r="A14" s="12" t="s">
        <v>50</v>
      </c>
      <c r="B14">
        <v>5860000</v>
      </c>
    </row>
    <row r="15" spans="1:2" x14ac:dyDescent="0.3">
      <c r="A15" s="12" t="s">
        <v>46</v>
      </c>
      <c r="B15">
        <v>4275000</v>
      </c>
    </row>
    <row r="16" spans="1:2" x14ac:dyDescent="0.3">
      <c r="A16" s="12" t="s">
        <v>39</v>
      </c>
      <c r="B16">
        <v>7150000</v>
      </c>
    </row>
    <row r="17" spans="1:2" x14ac:dyDescent="0.3">
      <c r="A17" s="12" t="s">
        <v>69</v>
      </c>
      <c r="B17">
        <v>63835000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322FE-C8FB-41CF-825D-95D7A5F94091}">
  <dimension ref="A3:B13"/>
  <sheetViews>
    <sheetView workbookViewId="0">
      <selection activeCell="O9" sqref="O9"/>
    </sheetView>
  </sheetViews>
  <sheetFormatPr defaultRowHeight="14.4" x14ac:dyDescent="0.3"/>
  <cols>
    <col min="1" max="1" width="12.5546875" bestFit="1" customWidth="1"/>
    <col min="2" max="2" width="14.44140625" bestFit="1" customWidth="1"/>
  </cols>
  <sheetData>
    <row r="3" spans="1:2" x14ac:dyDescent="0.3">
      <c r="A3" s="11" t="s">
        <v>68</v>
      </c>
      <c r="B3" t="s">
        <v>67</v>
      </c>
    </row>
    <row r="4" spans="1:2" x14ac:dyDescent="0.3">
      <c r="A4" s="12" t="s">
        <v>58</v>
      </c>
      <c r="B4">
        <v>22760000</v>
      </c>
    </row>
    <row r="5" spans="1:2" x14ac:dyDescent="0.3">
      <c r="A5" s="12" t="s">
        <v>55</v>
      </c>
      <c r="B5">
        <v>9240000</v>
      </c>
    </row>
    <row r="6" spans="1:2" x14ac:dyDescent="0.3">
      <c r="A6" s="12" t="s">
        <v>60</v>
      </c>
      <c r="B6">
        <v>5390000</v>
      </c>
    </row>
    <row r="7" spans="1:2" x14ac:dyDescent="0.3">
      <c r="A7" s="12" t="s">
        <v>59</v>
      </c>
      <c r="B7">
        <v>2925000</v>
      </c>
    </row>
    <row r="8" spans="1:2" x14ac:dyDescent="0.3">
      <c r="A8" s="12" t="s">
        <v>61</v>
      </c>
      <c r="B8">
        <v>2670000</v>
      </c>
    </row>
    <row r="9" spans="1:2" x14ac:dyDescent="0.3">
      <c r="A9" s="12" t="s">
        <v>63</v>
      </c>
      <c r="B9">
        <v>2380000</v>
      </c>
    </row>
    <row r="10" spans="1:2" x14ac:dyDescent="0.3">
      <c r="A10" s="12" t="s">
        <v>57</v>
      </c>
      <c r="B10">
        <v>7830000</v>
      </c>
    </row>
    <row r="11" spans="1:2" x14ac:dyDescent="0.3">
      <c r="A11" s="12" t="s">
        <v>56</v>
      </c>
      <c r="B11">
        <v>9100000</v>
      </c>
    </row>
    <row r="12" spans="1:2" x14ac:dyDescent="0.3">
      <c r="A12" s="12" t="s">
        <v>62</v>
      </c>
      <c r="B12">
        <v>1540000</v>
      </c>
    </row>
    <row r="13" spans="1:2" x14ac:dyDescent="0.3">
      <c r="A13" s="12" t="s">
        <v>69</v>
      </c>
      <c r="B13">
        <v>63835000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C8B4E-BE87-464E-84C3-3FC8712201FE}">
  <dimension ref="A3:B7"/>
  <sheetViews>
    <sheetView workbookViewId="0">
      <selection activeCell="Q8" sqref="Q8"/>
    </sheetView>
  </sheetViews>
  <sheetFormatPr defaultRowHeight="14.4" x14ac:dyDescent="0.3"/>
  <cols>
    <col min="1" max="1" width="12.5546875" bestFit="1" customWidth="1"/>
    <col min="2" max="2" width="14.44140625" bestFit="1" customWidth="1"/>
  </cols>
  <sheetData>
    <row r="3" spans="1:2" x14ac:dyDescent="0.3">
      <c r="A3" s="11" t="s">
        <v>68</v>
      </c>
      <c r="B3" t="s">
        <v>67</v>
      </c>
    </row>
    <row r="4" spans="1:2" x14ac:dyDescent="0.3">
      <c r="A4" s="12" t="s">
        <v>52</v>
      </c>
      <c r="B4">
        <v>29830000</v>
      </c>
    </row>
    <row r="5" spans="1:2" x14ac:dyDescent="0.3">
      <c r="A5" s="12" t="s">
        <v>54</v>
      </c>
      <c r="B5">
        <v>18010000</v>
      </c>
    </row>
    <row r="6" spans="1:2" x14ac:dyDescent="0.3">
      <c r="A6" s="12" t="s">
        <v>53</v>
      </c>
      <c r="B6">
        <v>15995000</v>
      </c>
    </row>
    <row r="7" spans="1:2" x14ac:dyDescent="0.3">
      <c r="A7" s="12" t="s">
        <v>69</v>
      </c>
      <c r="B7">
        <v>63835000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E30C5-45E5-4799-A688-DBE6C6576C07}">
  <dimension ref="A3:B24"/>
  <sheetViews>
    <sheetView workbookViewId="0">
      <selection activeCell="P6" sqref="P6"/>
    </sheetView>
  </sheetViews>
  <sheetFormatPr defaultRowHeight="14.4" x14ac:dyDescent="0.3"/>
  <cols>
    <col min="1" max="1" width="12.5546875" bestFit="1" customWidth="1"/>
    <col min="2" max="2" width="14.44140625" bestFit="1" customWidth="1"/>
  </cols>
  <sheetData>
    <row r="3" spans="1:2" x14ac:dyDescent="0.3">
      <c r="A3" s="11" t="s">
        <v>68</v>
      </c>
      <c r="B3" t="s">
        <v>67</v>
      </c>
    </row>
    <row r="4" spans="1:2" x14ac:dyDescent="0.3">
      <c r="A4" s="12" t="s">
        <v>32</v>
      </c>
      <c r="B4">
        <v>1060000</v>
      </c>
    </row>
    <row r="5" spans="1:2" x14ac:dyDescent="0.3">
      <c r="A5" s="12" t="s">
        <v>30</v>
      </c>
      <c r="B5">
        <v>3120000</v>
      </c>
    </row>
    <row r="6" spans="1:2" x14ac:dyDescent="0.3">
      <c r="A6" s="12" t="s">
        <v>17</v>
      </c>
      <c r="B6">
        <v>920000</v>
      </c>
    </row>
    <row r="7" spans="1:2" x14ac:dyDescent="0.3">
      <c r="A7" s="12" t="s">
        <v>23</v>
      </c>
      <c r="B7">
        <v>4175000</v>
      </c>
    </row>
    <row r="8" spans="1:2" x14ac:dyDescent="0.3">
      <c r="A8" s="12" t="s">
        <v>29</v>
      </c>
      <c r="B8">
        <v>2790000</v>
      </c>
    </row>
    <row r="9" spans="1:2" x14ac:dyDescent="0.3">
      <c r="A9" s="12" t="s">
        <v>22</v>
      </c>
      <c r="B9">
        <v>4020000</v>
      </c>
    </row>
    <row r="10" spans="1:2" x14ac:dyDescent="0.3">
      <c r="A10" s="12" t="s">
        <v>26</v>
      </c>
      <c r="B10">
        <v>5020000</v>
      </c>
    </row>
    <row r="11" spans="1:2" x14ac:dyDescent="0.3">
      <c r="A11" s="12" t="s">
        <v>34</v>
      </c>
      <c r="B11">
        <v>4630000</v>
      </c>
    </row>
    <row r="12" spans="1:2" x14ac:dyDescent="0.3">
      <c r="A12" s="12" t="s">
        <v>18</v>
      </c>
      <c r="B12">
        <v>3300000</v>
      </c>
    </row>
    <row r="13" spans="1:2" x14ac:dyDescent="0.3">
      <c r="A13" s="12" t="s">
        <v>20</v>
      </c>
      <c r="B13">
        <v>1700000</v>
      </c>
    </row>
    <row r="14" spans="1:2" x14ac:dyDescent="0.3">
      <c r="A14" s="12" t="s">
        <v>31</v>
      </c>
      <c r="B14">
        <v>1390000</v>
      </c>
    </row>
    <row r="15" spans="1:2" x14ac:dyDescent="0.3">
      <c r="A15" s="12" t="s">
        <v>25</v>
      </c>
      <c r="B15">
        <v>3175000</v>
      </c>
    </row>
    <row r="16" spans="1:2" x14ac:dyDescent="0.3">
      <c r="A16" s="12" t="s">
        <v>27</v>
      </c>
      <c r="B16">
        <v>5385000</v>
      </c>
    </row>
    <row r="17" spans="1:2" x14ac:dyDescent="0.3">
      <c r="A17" s="12" t="s">
        <v>33</v>
      </c>
      <c r="B17">
        <v>770000</v>
      </c>
    </row>
    <row r="18" spans="1:2" x14ac:dyDescent="0.3">
      <c r="A18" s="12" t="s">
        <v>21</v>
      </c>
      <c r="B18">
        <v>4175000</v>
      </c>
    </row>
    <row r="19" spans="1:2" x14ac:dyDescent="0.3">
      <c r="A19" s="12" t="s">
        <v>15</v>
      </c>
      <c r="B19">
        <v>3290000</v>
      </c>
    </row>
    <row r="20" spans="1:2" x14ac:dyDescent="0.3">
      <c r="A20" s="12" t="s">
        <v>24</v>
      </c>
      <c r="B20">
        <v>3320000</v>
      </c>
    </row>
    <row r="21" spans="1:2" x14ac:dyDescent="0.3">
      <c r="A21" s="12" t="s">
        <v>28</v>
      </c>
      <c r="B21">
        <v>3745000</v>
      </c>
    </row>
    <row r="22" spans="1:2" x14ac:dyDescent="0.3">
      <c r="A22" s="12" t="s">
        <v>16</v>
      </c>
      <c r="B22">
        <v>3255000</v>
      </c>
    </row>
    <row r="23" spans="1:2" x14ac:dyDescent="0.3">
      <c r="A23" s="12" t="s">
        <v>19</v>
      </c>
      <c r="B23">
        <v>4595000</v>
      </c>
    </row>
    <row r="24" spans="1:2" x14ac:dyDescent="0.3">
      <c r="A24" s="12" t="s">
        <v>69</v>
      </c>
      <c r="B24">
        <v>63835000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D3FFA-611C-4C2C-B5B2-2EC63C8A1140}">
  <dimension ref="C1:M51"/>
  <sheetViews>
    <sheetView topLeftCell="B2" zoomScale="98" zoomScaleNormal="98" workbookViewId="0">
      <selection activeCell="C1" sqref="C1"/>
    </sheetView>
  </sheetViews>
  <sheetFormatPr defaultRowHeight="14.4" x14ac:dyDescent="0.3"/>
  <cols>
    <col min="3" max="3" width="20.6640625" bestFit="1" customWidth="1"/>
    <col min="4" max="4" width="21" customWidth="1"/>
    <col min="5" max="5" width="11.6640625" customWidth="1"/>
    <col min="6" max="6" width="10.21875" customWidth="1"/>
    <col min="7" max="7" width="9.21875" customWidth="1"/>
    <col min="8" max="8" width="17.6640625" customWidth="1"/>
    <col min="9" max="9" width="11.44140625" customWidth="1"/>
    <col min="10" max="10" width="12.5546875" customWidth="1"/>
    <col min="11" max="11" width="16.5546875" customWidth="1"/>
    <col min="12" max="12" width="12.21875" customWidth="1"/>
    <col min="13" max="13" width="16" customWidth="1"/>
  </cols>
  <sheetData>
    <row r="1" spans="3:13" ht="36" customHeight="1" x14ac:dyDescent="0.3">
      <c r="C1" s="8" t="s">
        <v>0</v>
      </c>
      <c r="D1" s="9" t="s">
        <v>1</v>
      </c>
      <c r="E1" s="9" t="s">
        <v>2</v>
      </c>
      <c r="F1" s="9" t="s">
        <v>3</v>
      </c>
      <c r="G1" s="9" t="s">
        <v>4</v>
      </c>
      <c r="H1" s="9" t="s">
        <v>5</v>
      </c>
      <c r="I1" s="9" t="s">
        <v>6</v>
      </c>
      <c r="J1" s="9" t="s">
        <v>7</v>
      </c>
      <c r="K1" s="9" t="s">
        <v>8</v>
      </c>
      <c r="L1" s="9" t="s">
        <v>9</v>
      </c>
      <c r="M1" s="10" t="s">
        <v>10</v>
      </c>
    </row>
    <row r="2" spans="3:13" s="4" customFormat="1" ht="21.6" customHeight="1" x14ac:dyDescent="0.3">
      <c r="C2" s="1" t="s">
        <v>11</v>
      </c>
      <c r="D2" s="2" t="s">
        <v>15</v>
      </c>
      <c r="E2" s="2" t="s">
        <v>35</v>
      </c>
      <c r="F2" s="2" t="s">
        <v>39</v>
      </c>
      <c r="G2" s="2" t="s">
        <v>52</v>
      </c>
      <c r="H2" s="2" t="s">
        <v>55</v>
      </c>
      <c r="I2" s="2">
        <v>34</v>
      </c>
      <c r="J2" s="2">
        <v>70000</v>
      </c>
      <c r="K2" s="2">
        <f>I2*J2</f>
        <v>2380000</v>
      </c>
      <c r="L2" s="2">
        <v>2021</v>
      </c>
      <c r="M2" s="3" t="s">
        <v>64</v>
      </c>
    </row>
    <row r="3" spans="3:13" s="4" customFormat="1" ht="21.6" customHeight="1" x14ac:dyDescent="0.3">
      <c r="C3" s="1" t="s">
        <v>12</v>
      </c>
      <c r="D3" s="2" t="s">
        <v>20</v>
      </c>
      <c r="E3" s="2" t="s">
        <v>36</v>
      </c>
      <c r="F3" s="2" t="s">
        <v>40</v>
      </c>
      <c r="G3" s="2" t="s">
        <v>53</v>
      </c>
      <c r="H3" s="2" t="s">
        <v>56</v>
      </c>
      <c r="I3" s="2">
        <v>23</v>
      </c>
      <c r="J3" s="2">
        <v>50000</v>
      </c>
      <c r="K3" s="2">
        <f t="shared" ref="K3:K51" si="0">I3*J3</f>
        <v>1150000</v>
      </c>
      <c r="L3" s="2">
        <v>2022</v>
      </c>
      <c r="M3" s="3" t="s">
        <v>65</v>
      </c>
    </row>
    <row r="4" spans="3:13" s="4" customFormat="1" ht="21.6" customHeight="1" x14ac:dyDescent="0.3">
      <c r="C4" s="1" t="s">
        <v>13</v>
      </c>
      <c r="D4" s="2" t="s">
        <v>25</v>
      </c>
      <c r="E4" s="2" t="s">
        <v>37</v>
      </c>
      <c r="F4" s="2" t="s">
        <v>41</v>
      </c>
      <c r="G4" s="2" t="s">
        <v>54</v>
      </c>
      <c r="H4" s="2" t="s">
        <v>57</v>
      </c>
      <c r="I4" s="2">
        <v>34</v>
      </c>
      <c r="J4" s="2">
        <v>40000</v>
      </c>
      <c r="K4" s="2">
        <f t="shared" si="0"/>
        <v>1360000</v>
      </c>
      <c r="L4" s="2">
        <v>2021</v>
      </c>
      <c r="M4" s="3" t="s">
        <v>66</v>
      </c>
    </row>
    <row r="5" spans="3:13" s="4" customFormat="1" ht="21.6" customHeight="1" x14ac:dyDescent="0.3">
      <c r="C5" s="1" t="s">
        <v>14</v>
      </c>
      <c r="D5" s="2" t="s">
        <v>30</v>
      </c>
      <c r="E5" s="2" t="s">
        <v>38</v>
      </c>
      <c r="F5" s="2" t="s">
        <v>42</v>
      </c>
      <c r="G5" s="2" t="s">
        <v>54</v>
      </c>
      <c r="H5" s="2" t="s">
        <v>58</v>
      </c>
      <c r="I5" s="2">
        <v>23</v>
      </c>
      <c r="J5" s="2">
        <v>90000</v>
      </c>
      <c r="K5" s="2">
        <f t="shared" si="0"/>
        <v>2070000</v>
      </c>
      <c r="L5" s="2">
        <v>2023</v>
      </c>
      <c r="M5" s="3" t="s">
        <v>66</v>
      </c>
    </row>
    <row r="6" spans="3:13" s="4" customFormat="1" ht="21.6" customHeight="1" x14ac:dyDescent="0.3">
      <c r="C6" s="1" t="s">
        <v>14</v>
      </c>
      <c r="D6" s="2" t="s">
        <v>31</v>
      </c>
      <c r="E6" s="2" t="s">
        <v>38</v>
      </c>
      <c r="F6" s="2" t="s">
        <v>43</v>
      </c>
      <c r="G6" s="2" t="s">
        <v>53</v>
      </c>
      <c r="H6" s="2" t="s">
        <v>59</v>
      </c>
      <c r="I6" s="2">
        <v>13</v>
      </c>
      <c r="J6" s="2">
        <v>45000</v>
      </c>
      <c r="K6" s="2">
        <f t="shared" si="0"/>
        <v>585000</v>
      </c>
      <c r="L6" s="2">
        <v>2021</v>
      </c>
      <c r="M6" s="3" t="s">
        <v>64</v>
      </c>
    </row>
    <row r="7" spans="3:13" s="4" customFormat="1" ht="21.6" customHeight="1" x14ac:dyDescent="0.3">
      <c r="C7" s="1" t="s">
        <v>12</v>
      </c>
      <c r="D7" s="2" t="s">
        <v>21</v>
      </c>
      <c r="E7" s="2" t="s">
        <v>36</v>
      </c>
      <c r="F7" s="2" t="s">
        <v>44</v>
      </c>
      <c r="G7" s="2" t="s">
        <v>52</v>
      </c>
      <c r="H7" s="2" t="s">
        <v>60</v>
      </c>
      <c r="I7" s="2">
        <v>12</v>
      </c>
      <c r="J7" s="2">
        <v>55000</v>
      </c>
      <c r="K7" s="2">
        <f t="shared" si="0"/>
        <v>660000</v>
      </c>
      <c r="L7" s="2">
        <v>2022</v>
      </c>
      <c r="M7" s="3" t="s">
        <v>64</v>
      </c>
    </row>
    <row r="8" spans="3:13" s="4" customFormat="1" ht="21.6" customHeight="1" x14ac:dyDescent="0.3">
      <c r="C8" s="1" t="s">
        <v>13</v>
      </c>
      <c r="D8" s="2" t="s">
        <v>26</v>
      </c>
      <c r="E8" s="2" t="s">
        <v>37</v>
      </c>
      <c r="F8" s="2" t="s">
        <v>45</v>
      </c>
      <c r="G8" s="2" t="s">
        <v>52</v>
      </c>
      <c r="H8" s="2" t="s">
        <v>55</v>
      </c>
      <c r="I8" s="2">
        <v>11</v>
      </c>
      <c r="J8" s="2">
        <v>70000</v>
      </c>
      <c r="K8" s="2">
        <f t="shared" si="0"/>
        <v>770000</v>
      </c>
      <c r="L8" s="2">
        <v>2021</v>
      </c>
      <c r="M8" s="3" t="s">
        <v>66</v>
      </c>
    </row>
    <row r="9" spans="3:13" s="4" customFormat="1" ht="21.6" customHeight="1" x14ac:dyDescent="0.3">
      <c r="C9" s="1" t="s">
        <v>12</v>
      </c>
      <c r="D9" s="2" t="s">
        <v>22</v>
      </c>
      <c r="E9" s="2" t="s">
        <v>36</v>
      </c>
      <c r="F9" s="2" t="s">
        <v>46</v>
      </c>
      <c r="G9" s="2" t="s">
        <v>53</v>
      </c>
      <c r="H9" s="2" t="s">
        <v>56</v>
      </c>
      <c r="I9" s="2">
        <v>21</v>
      </c>
      <c r="J9" s="2">
        <v>50000</v>
      </c>
      <c r="K9" s="2">
        <f t="shared" si="0"/>
        <v>1050000</v>
      </c>
      <c r="L9" s="2">
        <v>2023</v>
      </c>
      <c r="M9" s="3" t="s">
        <v>65</v>
      </c>
    </row>
    <row r="10" spans="3:13" s="4" customFormat="1" ht="21.6" customHeight="1" x14ac:dyDescent="0.3">
      <c r="C10" s="1" t="s">
        <v>11</v>
      </c>
      <c r="D10" s="2" t="s">
        <v>16</v>
      </c>
      <c r="E10" s="2" t="s">
        <v>35</v>
      </c>
      <c r="F10" s="2" t="s">
        <v>47</v>
      </c>
      <c r="G10" s="2" t="s">
        <v>54</v>
      </c>
      <c r="H10" s="2" t="s">
        <v>61</v>
      </c>
      <c r="I10" s="2">
        <v>32</v>
      </c>
      <c r="J10" s="2">
        <v>30000</v>
      </c>
      <c r="K10" s="2">
        <f t="shared" si="0"/>
        <v>960000</v>
      </c>
      <c r="L10" s="2">
        <v>2023</v>
      </c>
      <c r="M10" s="3" t="s">
        <v>66</v>
      </c>
    </row>
    <row r="11" spans="3:13" s="4" customFormat="1" ht="21.6" customHeight="1" x14ac:dyDescent="0.3">
      <c r="C11" s="1" t="s">
        <v>13</v>
      </c>
      <c r="D11" s="2" t="s">
        <v>27</v>
      </c>
      <c r="E11" s="2" t="s">
        <v>37</v>
      </c>
      <c r="F11" s="2" t="s">
        <v>48</v>
      </c>
      <c r="G11" s="2" t="s">
        <v>53</v>
      </c>
      <c r="H11" s="2" t="s">
        <v>62</v>
      </c>
      <c r="I11" s="2">
        <v>12</v>
      </c>
      <c r="J11" s="2">
        <v>35000</v>
      </c>
      <c r="K11" s="2">
        <f t="shared" si="0"/>
        <v>420000</v>
      </c>
      <c r="L11" s="2">
        <v>2023</v>
      </c>
      <c r="M11" s="3" t="s">
        <v>65</v>
      </c>
    </row>
    <row r="12" spans="3:13" s="4" customFormat="1" ht="21.6" customHeight="1" x14ac:dyDescent="0.3">
      <c r="C12" s="1" t="s">
        <v>11</v>
      </c>
      <c r="D12" s="2" t="s">
        <v>17</v>
      </c>
      <c r="E12" s="2" t="s">
        <v>35</v>
      </c>
      <c r="F12" s="2" t="s">
        <v>49</v>
      </c>
      <c r="G12" s="2" t="s">
        <v>54</v>
      </c>
      <c r="H12" s="2" t="s">
        <v>57</v>
      </c>
      <c r="I12" s="2">
        <v>23</v>
      </c>
      <c r="J12" s="2">
        <v>40000</v>
      </c>
      <c r="K12" s="2">
        <f t="shared" si="0"/>
        <v>920000</v>
      </c>
      <c r="L12" s="2">
        <v>2022</v>
      </c>
      <c r="M12" s="3" t="s">
        <v>64</v>
      </c>
    </row>
    <row r="13" spans="3:13" s="4" customFormat="1" ht="21.6" customHeight="1" x14ac:dyDescent="0.3">
      <c r="C13" s="1" t="s">
        <v>13</v>
      </c>
      <c r="D13" s="2" t="s">
        <v>28</v>
      </c>
      <c r="E13" s="2" t="s">
        <v>37</v>
      </c>
      <c r="F13" s="2" t="s">
        <v>50</v>
      </c>
      <c r="G13" s="2" t="s">
        <v>52</v>
      </c>
      <c r="H13" s="2" t="s">
        <v>60</v>
      </c>
      <c r="I13" s="2">
        <v>11</v>
      </c>
      <c r="J13" s="2">
        <v>55000</v>
      </c>
      <c r="K13" s="2">
        <f t="shared" si="0"/>
        <v>605000</v>
      </c>
      <c r="L13" s="2">
        <v>2021</v>
      </c>
      <c r="M13" s="3" t="s">
        <v>64</v>
      </c>
    </row>
    <row r="14" spans="3:13" s="4" customFormat="1" ht="21.6" customHeight="1" x14ac:dyDescent="0.3">
      <c r="C14" s="1" t="s">
        <v>14</v>
      </c>
      <c r="D14" s="2" t="s">
        <v>32</v>
      </c>
      <c r="E14" s="2" t="s">
        <v>38</v>
      </c>
      <c r="F14" s="2" t="s">
        <v>43</v>
      </c>
      <c r="G14" s="2" t="s">
        <v>52</v>
      </c>
      <c r="H14" s="2" t="s">
        <v>55</v>
      </c>
      <c r="I14" s="2">
        <v>10</v>
      </c>
      <c r="J14" s="2">
        <v>70000</v>
      </c>
      <c r="K14" s="2">
        <f t="shared" si="0"/>
        <v>700000</v>
      </c>
      <c r="L14" s="2">
        <v>2023</v>
      </c>
      <c r="M14" s="3" t="s">
        <v>66</v>
      </c>
    </row>
    <row r="15" spans="3:13" s="4" customFormat="1" ht="21.6" customHeight="1" x14ac:dyDescent="0.3">
      <c r="C15" s="1" t="s">
        <v>13</v>
      </c>
      <c r="D15" s="2" t="s">
        <v>29</v>
      </c>
      <c r="E15" s="2" t="s">
        <v>37</v>
      </c>
      <c r="F15" s="2" t="s">
        <v>45</v>
      </c>
      <c r="G15" s="2" t="s">
        <v>54</v>
      </c>
      <c r="H15" s="2" t="s">
        <v>63</v>
      </c>
      <c r="I15" s="2">
        <v>18</v>
      </c>
      <c r="J15" s="2">
        <v>35000</v>
      </c>
      <c r="K15" s="2">
        <f t="shared" si="0"/>
        <v>630000</v>
      </c>
      <c r="L15" s="2">
        <v>2021</v>
      </c>
      <c r="M15" s="3" t="s">
        <v>66</v>
      </c>
    </row>
    <row r="16" spans="3:13" s="4" customFormat="1" ht="21.6" customHeight="1" x14ac:dyDescent="0.3">
      <c r="C16" s="1" t="s">
        <v>12</v>
      </c>
      <c r="D16" s="2" t="s">
        <v>24</v>
      </c>
      <c r="E16" s="2" t="s">
        <v>36</v>
      </c>
      <c r="F16" s="2" t="s">
        <v>40</v>
      </c>
      <c r="G16" s="2" t="s">
        <v>54</v>
      </c>
      <c r="H16" s="2" t="s">
        <v>61</v>
      </c>
      <c r="I16" s="2">
        <v>22</v>
      </c>
      <c r="J16" s="2">
        <v>30000</v>
      </c>
      <c r="K16" s="2">
        <f t="shared" si="0"/>
        <v>660000</v>
      </c>
      <c r="L16" s="2">
        <v>2022</v>
      </c>
      <c r="M16" s="3" t="s">
        <v>65</v>
      </c>
    </row>
    <row r="17" spans="3:13" s="4" customFormat="1" ht="21.6" customHeight="1" x14ac:dyDescent="0.3">
      <c r="C17" s="1" t="s">
        <v>11</v>
      </c>
      <c r="D17" s="2" t="s">
        <v>18</v>
      </c>
      <c r="E17" s="2" t="s">
        <v>35</v>
      </c>
      <c r="F17" s="2" t="s">
        <v>39</v>
      </c>
      <c r="G17" s="2" t="s">
        <v>52</v>
      </c>
      <c r="H17" s="2" t="s">
        <v>58</v>
      </c>
      <c r="I17" s="2">
        <v>16</v>
      </c>
      <c r="J17" s="2">
        <v>95000</v>
      </c>
      <c r="K17" s="2">
        <f t="shared" si="0"/>
        <v>1520000</v>
      </c>
      <c r="L17" s="2">
        <v>2023</v>
      </c>
      <c r="M17" s="3" t="s">
        <v>66</v>
      </c>
    </row>
    <row r="18" spans="3:13" s="4" customFormat="1" ht="21.6" customHeight="1" x14ac:dyDescent="0.3">
      <c r="C18" s="1" t="s">
        <v>13</v>
      </c>
      <c r="D18" s="2" t="s">
        <v>28</v>
      </c>
      <c r="E18" s="2" t="s">
        <v>37</v>
      </c>
      <c r="F18" s="2" t="s">
        <v>48</v>
      </c>
      <c r="G18" s="2" t="s">
        <v>53</v>
      </c>
      <c r="H18" s="2" t="s">
        <v>56</v>
      </c>
      <c r="I18" s="2">
        <v>25</v>
      </c>
      <c r="J18" s="2">
        <v>50000</v>
      </c>
      <c r="K18" s="2">
        <f t="shared" si="0"/>
        <v>1250000</v>
      </c>
      <c r="L18" s="2">
        <v>2021</v>
      </c>
      <c r="M18" s="3" t="s">
        <v>65</v>
      </c>
    </row>
    <row r="19" spans="3:13" s="4" customFormat="1" ht="21.6" customHeight="1" x14ac:dyDescent="0.3">
      <c r="C19" s="1" t="s">
        <v>14</v>
      </c>
      <c r="D19" s="2" t="s">
        <v>33</v>
      </c>
      <c r="E19" s="2" t="s">
        <v>38</v>
      </c>
      <c r="F19" s="2" t="s">
        <v>42</v>
      </c>
      <c r="G19" s="2" t="s">
        <v>53</v>
      </c>
      <c r="H19" s="2" t="s">
        <v>62</v>
      </c>
      <c r="I19" s="2">
        <v>22</v>
      </c>
      <c r="J19" s="2">
        <v>35000</v>
      </c>
      <c r="K19" s="2">
        <f t="shared" si="0"/>
        <v>770000</v>
      </c>
      <c r="L19" s="2">
        <v>2022</v>
      </c>
      <c r="M19" s="3" t="s">
        <v>65</v>
      </c>
    </row>
    <row r="20" spans="3:13" s="4" customFormat="1" ht="21.6" customHeight="1" x14ac:dyDescent="0.3">
      <c r="C20" s="1" t="s">
        <v>12</v>
      </c>
      <c r="D20" s="2" t="s">
        <v>22</v>
      </c>
      <c r="E20" s="2" t="s">
        <v>36</v>
      </c>
      <c r="F20" s="2" t="s">
        <v>46</v>
      </c>
      <c r="G20" s="2" t="s">
        <v>52</v>
      </c>
      <c r="H20" s="2" t="s">
        <v>58</v>
      </c>
      <c r="I20" s="2">
        <v>24</v>
      </c>
      <c r="J20" s="2">
        <v>95000</v>
      </c>
      <c r="K20" s="2">
        <f t="shared" si="0"/>
        <v>2280000</v>
      </c>
      <c r="L20" s="2">
        <v>2022</v>
      </c>
      <c r="M20" s="3" t="s">
        <v>64</v>
      </c>
    </row>
    <row r="21" spans="3:13" s="4" customFormat="1" ht="21.6" customHeight="1" x14ac:dyDescent="0.3">
      <c r="C21" s="1" t="s">
        <v>13</v>
      </c>
      <c r="D21" s="2" t="s">
        <v>29</v>
      </c>
      <c r="E21" s="2" t="s">
        <v>37</v>
      </c>
      <c r="F21" s="2" t="s">
        <v>50</v>
      </c>
      <c r="G21" s="2" t="s">
        <v>54</v>
      </c>
      <c r="H21" s="2" t="s">
        <v>58</v>
      </c>
      <c r="I21" s="2">
        <v>24</v>
      </c>
      <c r="J21" s="2">
        <v>90000</v>
      </c>
      <c r="K21" s="2">
        <f t="shared" si="0"/>
        <v>2160000</v>
      </c>
      <c r="L21" s="2">
        <v>2021</v>
      </c>
      <c r="M21" s="3" t="s">
        <v>66</v>
      </c>
    </row>
    <row r="22" spans="3:13" s="4" customFormat="1" ht="21.6" customHeight="1" x14ac:dyDescent="0.3">
      <c r="C22" s="1" t="s">
        <v>12</v>
      </c>
      <c r="D22" s="2" t="s">
        <v>23</v>
      </c>
      <c r="E22" s="2" t="s">
        <v>36</v>
      </c>
      <c r="F22" s="2" t="s">
        <v>44</v>
      </c>
      <c r="G22" s="2" t="s">
        <v>53</v>
      </c>
      <c r="H22" s="2" t="s">
        <v>56</v>
      </c>
      <c r="I22" s="2">
        <v>19</v>
      </c>
      <c r="J22" s="2">
        <v>50000</v>
      </c>
      <c r="K22" s="2">
        <f t="shared" si="0"/>
        <v>950000</v>
      </c>
      <c r="L22" s="2">
        <v>2023</v>
      </c>
      <c r="M22" s="3" t="s">
        <v>65</v>
      </c>
    </row>
    <row r="23" spans="3:13" s="4" customFormat="1" ht="21.6" customHeight="1" x14ac:dyDescent="0.3">
      <c r="C23" s="1" t="s">
        <v>13</v>
      </c>
      <c r="D23" s="2" t="s">
        <v>28</v>
      </c>
      <c r="E23" s="2" t="s">
        <v>37</v>
      </c>
      <c r="F23" s="2" t="s">
        <v>50</v>
      </c>
      <c r="G23" s="2" t="s">
        <v>54</v>
      </c>
      <c r="H23" s="2" t="s">
        <v>58</v>
      </c>
      <c r="I23" s="2">
        <v>21</v>
      </c>
      <c r="J23" s="2">
        <v>90000</v>
      </c>
      <c r="K23" s="2">
        <f t="shared" si="0"/>
        <v>1890000</v>
      </c>
      <c r="L23" s="2">
        <v>2021</v>
      </c>
      <c r="M23" s="3" t="s">
        <v>66</v>
      </c>
    </row>
    <row r="24" spans="3:13" s="4" customFormat="1" ht="21.6" customHeight="1" x14ac:dyDescent="0.3">
      <c r="C24" s="1" t="s">
        <v>11</v>
      </c>
      <c r="D24" s="2" t="s">
        <v>16</v>
      </c>
      <c r="E24" s="2" t="s">
        <v>35</v>
      </c>
      <c r="F24" s="2" t="s">
        <v>39</v>
      </c>
      <c r="G24" s="2" t="s">
        <v>53</v>
      </c>
      <c r="H24" s="2" t="s">
        <v>59</v>
      </c>
      <c r="I24" s="2">
        <v>32</v>
      </c>
      <c r="J24" s="2">
        <v>45000</v>
      </c>
      <c r="K24" s="2">
        <f t="shared" si="0"/>
        <v>1440000</v>
      </c>
      <c r="L24" s="2">
        <v>2022</v>
      </c>
      <c r="M24" s="3" t="s">
        <v>64</v>
      </c>
    </row>
    <row r="25" spans="3:13" s="4" customFormat="1" ht="21.6" customHeight="1" x14ac:dyDescent="0.3">
      <c r="C25" s="1" t="s">
        <v>11</v>
      </c>
      <c r="D25" s="2" t="s">
        <v>18</v>
      </c>
      <c r="E25" s="2" t="s">
        <v>35</v>
      </c>
      <c r="F25" s="2" t="s">
        <v>47</v>
      </c>
      <c r="G25" s="2" t="s">
        <v>54</v>
      </c>
      <c r="H25" s="2" t="s">
        <v>57</v>
      </c>
      <c r="I25" s="2">
        <v>22</v>
      </c>
      <c r="J25" s="2">
        <v>40000</v>
      </c>
      <c r="K25" s="2">
        <f t="shared" si="0"/>
        <v>880000</v>
      </c>
      <c r="L25" s="2">
        <v>2023</v>
      </c>
      <c r="M25" s="3" t="s">
        <v>66</v>
      </c>
    </row>
    <row r="26" spans="3:13" s="4" customFormat="1" ht="21.6" customHeight="1" x14ac:dyDescent="0.3">
      <c r="C26" s="1" t="s">
        <v>13</v>
      </c>
      <c r="D26" s="2" t="s">
        <v>25</v>
      </c>
      <c r="E26" s="2" t="s">
        <v>37</v>
      </c>
      <c r="F26" s="2" t="s">
        <v>48</v>
      </c>
      <c r="G26" s="2" t="s">
        <v>52</v>
      </c>
      <c r="H26" s="2" t="s">
        <v>60</v>
      </c>
      <c r="I26" s="2">
        <v>33</v>
      </c>
      <c r="J26" s="2">
        <v>55000</v>
      </c>
      <c r="K26" s="2">
        <f t="shared" si="0"/>
        <v>1815000</v>
      </c>
      <c r="L26" s="2">
        <v>2021</v>
      </c>
      <c r="M26" s="3" t="s">
        <v>64</v>
      </c>
    </row>
    <row r="27" spans="3:13" s="4" customFormat="1" ht="21.6" customHeight="1" x14ac:dyDescent="0.3">
      <c r="C27" s="1" t="s">
        <v>12</v>
      </c>
      <c r="D27" s="2" t="s">
        <v>24</v>
      </c>
      <c r="E27" s="2" t="s">
        <v>37</v>
      </c>
      <c r="F27" s="2" t="s">
        <v>50</v>
      </c>
      <c r="G27" s="2" t="s">
        <v>53</v>
      </c>
      <c r="H27" s="2" t="s">
        <v>62</v>
      </c>
      <c r="I27" s="2">
        <v>10</v>
      </c>
      <c r="J27" s="2">
        <v>35000</v>
      </c>
      <c r="K27" s="2">
        <f t="shared" si="0"/>
        <v>350000</v>
      </c>
      <c r="L27" s="2">
        <v>2021</v>
      </c>
      <c r="M27" s="3" t="s">
        <v>65</v>
      </c>
    </row>
    <row r="28" spans="3:13" s="4" customFormat="1" ht="21.6" customHeight="1" x14ac:dyDescent="0.3">
      <c r="C28" s="1" t="s">
        <v>14</v>
      </c>
      <c r="D28" s="2" t="s">
        <v>34</v>
      </c>
      <c r="E28" s="2" t="s">
        <v>38</v>
      </c>
      <c r="F28" s="2" t="s">
        <v>42</v>
      </c>
      <c r="G28" s="2" t="s">
        <v>52</v>
      </c>
      <c r="H28" s="2" t="s">
        <v>58</v>
      </c>
      <c r="I28" s="2">
        <v>28</v>
      </c>
      <c r="J28" s="2">
        <v>95000</v>
      </c>
      <c r="K28" s="2">
        <f t="shared" si="0"/>
        <v>2660000</v>
      </c>
      <c r="L28" s="2">
        <v>2023</v>
      </c>
      <c r="M28" s="3" t="s">
        <v>64</v>
      </c>
    </row>
    <row r="29" spans="3:13" s="4" customFormat="1" ht="21.6" customHeight="1" x14ac:dyDescent="0.3">
      <c r="C29" s="1" t="s">
        <v>13</v>
      </c>
      <c r="D29" s="2" t="s">
        <v>26</v>
      </c>
      <c r="E29" s="2" t="s">
        <v>37</v>
      </c>
      <c r="F29" s="2" t="s">
        <v>48</v>
      </c>
      <c r="G29" s="2" t="s">
        <v>53</v>
      </c>
      <c r="H29" s="2" t="s">
        <v>57</v>
      </c>
      <c r="I29" s="2">
        <v>16</v>
      </c>
      <c r="J29" s="2">
        <v>45000</v>
      </c>
      <c r="K29" s="2">
        <f t="shared" si="0"/>
        <v>720000</v>
      </c>
      <c r="L29" s="2">
        <v>2022</v>
      </c>
      <c r="M29" s="3" t="s">
        <v>66</v>
      </c>
    </row>
    <row r="30" spans="3:13" s="4" customFormat="1" ht="21.6" customHeight="1" x14ac:dyDescent="0.3">
      <c r="C30" s="1" t="s">
        <v>14</v>
      </c>
      <c r="D30" s="2" t="s">
        <v>32</v>
      </c>
      <c r="E30" s="2" t="s">
        <v>38</v>
      </c>
      <c r="F30" s="2" t="s">
        <v>43</v>
      </c>
      <c r="G30" s="2" t="s">
        <v>54</v>
      </c>
      <c r="H30" s="2" t="s">
        <v>61</v>
      </c>
      <c r="I30" s="2">
        <v>12</v>
      </c>
      <c r="J30" s="2">
        <v>30000</v>
      </c>
      <c r="K30" s="2">
        <f t="shared" si="0"/>
        <v>360000</v>
      </c>
      <c r="L30" s="2">
        <v>2021</v>
      </c>
      <c r="M30" s="3" t="s">
        <v>66</v>
      </c>
    </row>
    <row r="31" spans="3:13" s="4" customFormat="1" ht="21.6" customHeight="1" x14ac:dyDescent="0.3">
      <c r="C31" s="1" t="s">
        <v>11</v>
      </c>
      <c r="D31" s="2" t="s">
        <v>15</v>
      </c>
      <c r="E31" s="2" t="s">
        <v>35</v>
      </c>
      <c r="F31" s="2" t="s">
        <v>39</v>
      </c>
      <c r="G31" s="2" t="s">
        <v>52</v>
      </c>
      <c r="H31" s="2" t="s">
        <v>55</v>
      </c>
      <c r="I31" s="2">
        <v>13</v>
      </c>
      <c r="J31" s="2">
        <v>70000</v>
      </c>
      <c r="K31" s="2">
        <f t="shared" si="0"/>
        <v>910000</v>
      </c>
      <c r="L31" s="2">
        <v>2023</v>
      </c>
      <c r="M31" s="3" t="s">
        <v>64</v>
      </c>
    </row>
    <row r="32" spans="3:13" s="4" customFormat="1" ht="21.6" customHeight="1" x14ac:dyDescent="0.3">
      <c r="C32" s="1" t="s">
        <v>14</v>
      </c>
      <c r="D32" s="2" t="s">
        <v>30</v>
      </c>
      <c r="E32" s="2" t="s">
        <v>38</v>
      </c>
      <c r="F32" s="2" t="s">
        <v>42</v>
      </c>
      <c r="G32" s="2" t="s">
        <v>53</v>
      </c>
      <c r="H32" s="2" t="s">
        <v>56</v>
      </c>
      <c r="I32" s="2">
        <v>21</v>
      </c>
      <c r="J32" s="2">
        <v>50000</v>
      </c>
      <c r="K32" s="2">
        <f t="shared" si="0"/>
        <v>1050000</v>
      </c>
      <c r="L32" s="2">
        <v>2023</v>
      </c>
      <c r="M32" s="3" t="s">
        <v>65</v>
      </c>
    </row>
    <row r="33" spans="3:13" s="4" customFormat="1" ht="21.6" customHeight="1" x14ac:dyDescent="0.3">
      <c r="C33" s="1" t="s">
        <v>13</v>
      </c>
      <c r="D33" s="2" t="s">
        <v>27</v>
      </c>
      <c r="E33" s="2" t="s">
        <v>37</v>
      </c>
      <c r="F33" s="2" t="s">
        <v>41</v>
      </c>
      <c r="G33" s="2" t="s">
        <v>54</v>
      </c>
      <c r="H33" s="2" t="s">
        <v>57</v>
      </c>
      <c r="I33" s="2">
        <v>31</v>
      </c>
      <c r="J33" s="2">
        <v>40000</v>
      </c>
      <c r="K33" s="2">
        <f t="shared" si="0"/>
        <v>1240000</v>
      </c>
      <c r="L33" s="2">
        <v>2021</v>
      </c>
      <c r="M33" s="3" t="s">
        <v>66</v>
      </c>
    </row>
    <row r="34" spans="3:13" s="4" customFormat="1" ht="21.6" customHeight="1" x14ac:dyDescent="0.3">
      <c r="C34" s="1" t="s">
        <v>12</v>
      </c>
      <c r="D34" s="2" t="s">
        <v>21</v>
      </c>
      <c r="E34" s="2" t="s">
        <v>36</v>
      </c>
      <c r="F34" s="2" t="s">
        <v>40</v>
      </c>
      <c r="G34" s="2" t="s">
        <v>52</v>
      </c>
      <c r="H34" s="2" t="s">
        <v>58</v>
      </c>
      <c r="I34" s="2">
        <v>37</v>
      </c>
      <c r="J34" s="2">
        <v>95000</v>
      </c>
      <c r="K34" s="2">
        <f t="shared" si="0"/>
        <v>3515000</v>
      </c>
      <c r="L34" s="2">
        <v>2023</v>
      </c>
      <c r="M34" s="3" t="s">
        <v>65</v>
      </c>
    </row>
    <row r="35" spans="3:13" s="4" customFormat="1" ht="21.6" customHeight="1" x14ac:dyDescent="0.3">
      <c r="C35" s="1" t="s">
        <v>12</v>
      </c>
      <c r="D35" s="2" t="s">
        <v>20</v>
      </c>
      <c r="E35" s="2" t="s">
        <v>36</v>
      </c>
      <c r="F35" s="2" t="s">
        <v>44</v>
      </c>
      <c r="G35" s="2" t="s">
        <v>53</v>
      </c>
      <c r="H35" s="2" t="s">
        <v>56</v>
      </c>
      <c r="I35" s="2">
        <v>11</v>
      </c>
      <c r="J35" s="2">
        <v>50000</v>
      </c>
      <c r="K35" s="2">
        <f t="shared" si="0"/>
        <v>550000</v>
      </c>
      <c r="L35" s="2">
        <v>2021</v>
      </c>
      <c r="M35" s="3" t="s">
        <v>66</v>
      </c>
    </row>
    <row r="36" spans="3:13" s="4" customFormat="1" ht="21.6" customHeight="1" x14ac:dyDescent="0.3">
      <c r="C36" s="1" t="s">
        <v>13</v>
      </c>
      <c r="D36" s="2" t="s">
        <v>27</v>
      </c>
      <c r="E36" s="2" t="s">
        <v>37</v>
      </c>
      <c r="F36" s="2" t="s">
        <v>41</v>
      </c>
      <c r="G36" s="2" t="s">
        <v>52</v>
      </c>
      <c r="H36" s="2" t="s">
        <v>55</v>
      </c>
      <c r="I36" s="2">
        <v>41</v>
      </c>
      <c r="J36" s="2">
        <v>70000</v>
      </c>
      <c r="K36" s="2">
        <f t="shared" si="0"/>
        <v>2870000</v>
      </c>
      <c r="L36" s="2">
        <v>2021</v>
      </c>
      <c r="M36" s="3" t="s">
        <v>65</v>
      </c>
    </row>
    <row r="37" spans="3:13" s="4" customFormat="1" ht="21.6" customHeight="1" x14ac:dyDescent="0.3">
      <c r="C37" s="1" t="s">
        <v>13</v>
      </c>
      <c r="D37" s="2" t="s">
        <v>26</v>
      </c>
      <c r="E37" s="2" t="s">
        <v>37</v>
      </c>
      <c r="F37" s="2" t="s">
        <v>45</v>
      </c>
      <c r="G37" s="2" t="s">
        <v>54</v>
      </c>
      <c r="H37" s="2" t="s">
        <v>57</v>
      </c>
      <c r="I37" s="2">
        <v>12</v>
      </c>
      <c r="J37" s="2">
        <v>40000</v>
      </c>
      <c r="K37" s="2">
        <f t="shared" si="0"/>
        <v>480000</v>
      </c>
      <c r="L37" s="2">
        <v>2023</v>
      </c>
      <c r="M37" s="3" t="s">
        <v>65</v>
      </c>
    </row>
    <row r="38" spans="3:13" s="4" customFormat="1" ht="21.6" customHeight="1" x14ac:dyDescent="0.3">
      <c r="C38" s="1" t="s">
        <v>12</v>
      </c>
      <c r="D38" s="2" t="s">
        <v>22</v>
      </c>
      <c r="E38" s="2" t="s">
        <v>36</v>
      </c>
      <c r="F38" s="2" t="s">
        <v>49</v>
      </c>
      <c r="G38" s="2" t="s">
        <v>54</v>
      </c>
      <c r="H38" s="2" t="s">
        <v>61</v>
      </c>
      <c r="I38" s="2">
        <v>23</v>
      </c>
      <c r="J38" s="2">
        <v>30000</v>
      </c>
      <c r="K38" s="2">
        <f t="shared" si="0"/>
        <v>690000</v>
      </c>
      <c r="L38" s="2">
        <v>2022</v>
      </c>
      <c r="M38" s="3" t="s">
        <v>66</v>
      </c>
    </row>
    <row r="39" spans="3:13" s="4" customFormat="1" ht="21.6" customHeight="1" x14ac:dyDescent="0.3">
      <c r="C39" s="1" t="s">
        <v>13</v>
      </c>
      <c r="D39" s="2" t="s">
        <v>26</v>
      </c>
      <c r="E39" s="2" t="s">
        <v>37</v>
      </c>
      <c r="F39" s="2" t="s">
        <v>45</v>
      </c>
      <c r="G39" s="2" t="s">
        <v>52</v>
      </c>
      <c r="H39" s="2" t="s">
        <v>55</v>
      </c>
      <c r="I39" s="2">
        <v>23</v>
      </c>
      <c r="J39" s="2">
        <v>70000</v>
      </c>
      <c r="K39" s="2">
        <f t="shared" si="0"/>
        <v>1610000</v>
      </c>
      <c r="L39" s="2">
        <v>2021</v>
      </c>
      <c r="M39" s="3" t="s">
        <v>64</v>
      </c>
    </row>
    <row r="40" spans="3:13" s="4" customFormat="1" ht="21.6" customHeight="1" x14ac:dyDescent="0.3">
      <c r="C40" s="1" t="s">
        <v>11</v>
      </c>
      <c r="D40" s="2" t="s">
        <v>19</v>
      </c>
      <c r="E40" s="2" t="s">
        <v>35</v>
      </c>
      <c r="F40" s="2" t="s">
        <v>51</v>
      </c>
      <c r="G40" s="2" t="s">
        <v>53</v>
      </c>
      <c r="H40" s="2" t="s">
        <v>56</v>
      </c>
      <c r="I40" s="2">
        <v>33</v>
      </c>
      <c r="J40" s="2">
        <v>50000</v>
      </c>
      <c r="K40" s="2">
        <f t="shared" si="0"/>
        <v>1650000</v>
      </c>
      <c r="L40" s="2">
        <v>2023</v>
      </c>
      <c r="M40" s="3" t="s">
        <v>64</v>
      </c>
    </row>
    <row r="41" spans="3:13" s="4" customFormat="1" ht="21.6" customHeight="1" x14ac:dyDescent="0.3">
      <c r="C41" s="1" t="s">
        <v>14</v>
      </c>
      <c r="D41" s="2" t="s">
        <v>31</v>
      </c>
      <c r="E41" s="2" t="s">
        <v>38</v>
      </c>
      <c r="F41" s="2" t="s">
        <v>43</v>
      </c>
      <c r="G41" s="2" t="s">
        <v>54</v>
      </c>
      <c r="H41" s="2" t="s">
        <v>63</v>
      </c>
      <c r="I41" s="2">
        <v>23</v>
      </c>
      <c r="J41" s="2">
        <v>35000</v>
      </c>
      <c r="K41" s="2">
        <f t="shared" si="0"/>
        <v>805000</v>
      </c>
      <c r="L41" s="2">
        <v>2022</v>
      </c>
      <c r="M41" s="3" t="s">
        <v>66</v>
      </c>
    </row>
    <row r="42" spans="3:13" s="4" customFormat="1" ht="21.6" customHeight="1" x14ac:dyDescent="0.3">
      <c r="C42" s="1" t="s">
        <v>12</v>
      </c>
      <c r="D42" s="2" t="s">
        <v>24</v>
      </c>
      <c r="E42" s="2" t="s">
        <v>36</v>
      </c>
      <c r="F42" s="2" t="s">
        <v>40</v>
      </c>
      <c r="G42" s="2" t="s">
        <v>52</v>
      </c>
      <c r="H42" s="2" t="s">
        <v>60</v>
      </c>
      <c r="I42" s="2">
        <v>42</v>
      </c>
      <c r="J42" s="2">
        <v>55000</v>
      </c>
      <c r="K42" s="2">
        <f t="shared" si="0"/>
        <v>2310000</v>
      </c>
      <c r="L42" s="2">
        <v>2021</v>
      </c>
      <c r="M42" s="3" t="s">
        <v>65</v>
      </c>
    </row>
    <row r="43" spans="3:13" s="4" customFormat="1" ht="21.6" customHeight="1" x14ac:dyDescent="0.3">
      <c r="C43" s="1" t="s">
        <v>13</v>
      </c>
      <c r="D43" s="2" t="s">
        <v>27</v>
      </c>
      <c r="E43" s="2" t="s">
        <v>37</v>
      </c>
      <c r="F43" s="2" t="s">
        <v>50</v>
      </c>
      <c r="G43" s="2" t="s">
        <v>53</v>
      </c>
      <c r="H43" s="2" t="s">
        <v>57</v>
      </c>
      <c r="I43" s="2">
        <v>19</v>
      </c>
      <c r="J43" s="2">
        <v>45000</v>
      </c>
      <c r="K43" s="2">
        <f t="shared" si="0"/>
        <v>855000</v>
      </c>
      <c r="L43" s="2">
        <v>2021</v>
      </c>
      <c r="M43" s="3" t="s">
        <v>65</v>
      </c>
    </row>
    <row r="44" spans="3:13" s="4" customFormat="1" ht="21.6" customHeight="1" x14ac:dyDescent="0.3">
      <c r="C44" s="1" t="s">
        <v>12</v>
      </c>
      <c r="D44" s="2" t="s">
        <v>23</v>
      </c>
      <c r="E44" s="2" t="s">
        <v>36</v>
      </c>
      <c r="F44" s="2" t="s">
        <v>46</v>
      </c>
      <c r="G44" s="2" t="s">
        <v>54</v>
      </c>
      <c r="H44" s="2" t="s">
        <v>63</v>
      </c>
      <c r="I44" s="2">
        <v>27</v>
      </c>
      <c r="J44" s="2">
        <v>35000</v>
      </c>
      <c r="K44" s="2">
        <f t="shared" si="0"/>
        <v>945000</v>
      </c>
      <c r="L44" s="2">
        <v>2022</v>
      </c>
      <c r="M44" s="3" t="s">
        <v>64</v>
      </c>
    </row>
    <row r="45" spans="3:13" s="4" customFormat="1" ht="21.6" customHeight="1" x14ac:dyDescent="0.3">
      <c r="C45" s="1" t="s">
        <v>11</v>
      </c>
      <c r="D45" s="2" t="s">
        <v>19</v>
      </c>
      <c r="E45" s="2" t="s">
        <v>35</v>
      </c>
      <c r="F45" s="2" t="s">
        <v>51</v>
      </c>
      <c r="G45" s="2" t="s">
        <v>52</v>
      </c>
      <c r="H45" s="2" t="s">
        <v>58</v>
      </c>
      <c r="I45" s="2">
        <v>31</v>
      </c>
      <c r="J45" s="2">
        <v>95000</v>
      </c>
      <c r="K45" s="2">
        <f t="shared" si="0"/>
        <v>2945000</v>
      </c>
      <c r="L45" s="2">
        <v>2023</v>
      </c>
      <c r="M45" s="3" t="s">
        <v>65</v>
      </c>
    </row>
    <row r="46" spans="3:13" s="4" customFormat="1" ht="21.6" customHeight="1" x14ac:dyDescent="0.3">
      <c r="C46" s="1" t="s">
        <v>14</v>
      </c>
      <c r="D46" s="2" t="s">
        <v>34</v>
      </c>
      <c r="E46" s="2" t="s">
        <v>38</v>
      </c>
      <c r="F46" s="2" t="s">
        <v>42</v>
      </c>
      <c r="G46" s="2" t="s">
        <v>53</v>
      </c>
      <c r="H46" s="2" t="s">
        <v>56</v>
      </c>
      <c r="I46" s="2">
        <v>29</v>
      </c>
      <c r="J46" s="2">
        <v>50000</v>
      </c>
      <c r="K46" s="2">
        <f t="shared" si="0"/>
        <v>1450000</v>
      </c>
      <c r="L46" s="2">
        <v>2023</v>
      </c>
      <c r="M46" s="3" t="s">
        <v>66</v>
      </c>
    </row>
    <row r="47" spans="3:13" s="4" customFormat="1" ht="21.6" customHeight="1" x14ac:dyDescent="0.3">
      <c r="C47" s="1" t="s">
        <v>12</v>
      </c>
      <c r="D47" s="2" t="s">
        <v>23</v>
      </c>
      <c r="E47" s="2" t="s">
        <v>36</v>
      </c>
      <c r="F47" s="2" t="s">
        <v>44</v>
      </c>
      <c r="G47" s="2" t="s">
        <v>52</v>
      </c>
      <c r="H47" s="2" t="s">
        <v>58</v>
      </c>
      <c r="I47" s="2">
        <v>24</v>
      </c>
      <c r="J47" s="2">
        <v>95000</v>
      </c>
      <c r="K47" s="2">
        <f t="shared" si="0"/>
        <v>2280000</v>
      </c>
      <c r="L47" s="2">
        <v>2021</v>
      </c>
      <c r="M47" s="3" t="s">
        <v>65</v>
      </c>
    </row>
    <row r="48" spans="3:13" s="4" customFormat="1" ht="21.6" customHeight="1" x14ac:dyDescent="0.3">
      <c r="C48" s="1" t="s">
        <v>13</v>
      </c>
      <c r="D48" s="2" t="s">
        <v>26</v>
      </c>
      <c r="E48" s="2" t="s">
        <v>37</v>
      </c>
      <c r="F48" s="2" t="s">
        <v>48</v>
      </c>
      <c r="G48" s="2" t="s">
        <v>54</v>
      </c>
      <c r="H48" s="2" t="s">
        <v>58</v>
      </c>
      <c r="I48" s="2">
        <v>16</v>
      </c>
      <c r="J48" s="2">
        <v>90000</v>
      </c>
      <c r="K48" s="2">
        <f t="shared" si="0"/>
        <v>1440000</v>
      </c>
      <c r="L48" s="2">
        <v>2021</v>
      </c>
      <c r="M48" s="3" t="s">
        <v>64</v>
      </c>
    </row>
    <row r="49" spans="3:13" s="4" customFormat="1" ht="21.6" customHeight="1" x14ac:dyDescent="0.3">
      <c r="C49" s="1" t="s">
        <v>11</v>
      </c>
      <c r="D49" s="2" t="s">
        <v>16</v>
      </c>
      <c r="E49" s="2" t="s">
        <v>35</v>
      </c>
      <c r="F49" s="2" t="s">
        <v>51</v>
      </c>
      <c r="G49" s="2" t="s">
        <v>53</v>
      </c>
      <c r="H49" s="2" t="s">
        <v>57</v>
      </c>
      <c r="I49" s="2">
        <v>19</v>
      </c>
      <c r="J49" s="2">
        <v>45000</v>
      </c>
      <c r="K49" s="2">
        <f t="shared" si="0"/>
        <v>855000</v>
      </c>
      <c r="L49" s="2">
        <v>2022</v>
      </c>
      <c r="M49" s="3" t="s">
        <v>66</v>
      </c>
    </row>
    <row r="50" spans="3:13" s="4" customFormat="1" ht="21.6" customHeight="1" x14ac:dyDescent="0.3">
      <c r="C50" s="1" t="s">
        <v>14</v>
      </c>
      <c r="D50" s="2" t="s">
        <v>34</v>
      </c>
      <c r="E50" s="2" t="s">
        <v>38</v>
      </c>
      <c r="F50" s="2" t="s">
        <v>42</v>
      </c>
      <c r="G50" s="2" t="s">
        <v>54</v>
      </c>
      <c r="H50" s="2" t="s">
        <v>57</v>
      </c>
      <c r="I50" s="2">
        <v>13</v>
      </c>
      <c r="J50" s="2">
        <v>40000</v>
      </c>
      <c r="K50" s="2">
        <f t="shared" si="0"/>
        <v>520000</v>
      </c>
      <c r="L50" s="2">
        <v>2022</v>
      </c>
      <c r="M50" s="3" t="s">
        <v>64</v>
      </c>
    </row>
    <row r="51" spans="3:13" s="4" customFormat="1" ht="21.6" customHeight="1" x14ac:dyDescent="0.3">
      <c r="C51" s="5" t="s">
        <v>11</v>
      </c>
      <c r="D51" s="6" t="s">
        <v>18</v>
      </c>
      <c r="E51" s="6" t="s">
        <v>35</v>
      </c>
      <c r="F51" s="6" t="s">
        <v>39</v>
      </c>
      <c r="G51" s="6" t="s">
        <v>53</v>
      </c>
      <c r="H51" s="6" t="s">
        <v>59</v>
      </c>
      <c r="I51" s="6">
        <v>20</v>
      </c>
      <c r="J51" s="6">
        <v>45000</v>
      </c>
      <c r="K51" s="2">
        <f t="shared" si="0"/>
        <v>900000</v>
      </c>
      <c r="L51" s="6">
        <v>2023</v>
      </c>
      <c r="M51" s="7" t="s">
        <v>65</v>
      </c>
    </row>
  </sheetData>
  <dataValidations count="1">
    <dataValidation type="list" allowBlank="1" showInputMessage="1" showErrorMessage="1" sqref="F2:F51" xr:uid="{BE104858-1525-45FB-995D-B060D1DE4E33}">
      <formula1>"Patna,Mumbai,Delhi,Bangalore,Kolkata,Chennai,Indore,Pune,Agra,Chandigarh,Dehradun,Ranchi,Srinagar,Jaipur"</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B765F-F4F9-473C-A6C2-87E41928DD10}">
  <dimension ref="A1"/>
  <sheetViews>
    <sheetView showGridLines="0" tabSelected="1" zoomScaleNormal="100" workbookViewId="0">
      <selection activeCell="Y16" sqref="Y16"/>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42EF-778F-4AFC-9AF9-7FFBE6BAE7C8}">
  <dimension ref="A1:B7"/>
  <sheetViews>
    <sheetView workbookViewId="0">
      <selection activeCell="Y16" sqref="Y16"/>
    </sheetView>
  </sheetViews>
  <sheetFormatPr defaultRowHeight="14.4" x14ac:dyDescent="0.3"/>
  <cols>
    <col min="1" max="1" width="12.5546875" bestFit="1" customWidth="1"/>
    <col min="2" max="2" width="14.44140625" bestFit="1" customWidth="1"/>
    <col min="3" max="3" width="11.109375" bestFit="1" customWidth="1"/>
  </cols>
  <sheetData>
    <row r="1" spans="1:2" x14ac:dyDescent="0.3">
      <c r="A1" s="11" t="s">
        <v>9</v>
      </c>
      <c r="B1" t="s">
        <v>70</v>
      </c>
    </row>
    <row r="3" spans="1:2" x14ac:dyDescent="0.3">
      <c r="A3" s="11" t="s">
        <v>68</v>
      </c>
      <c r="B3" t="s">
        <v>67</v>
      </c>
    </row>
    <row r="4" spans="1:2" x14ac:dyDescent="0.3">
      <c r="A4" s="12" t="s">
        <v>64</v>
      </c>
      <c r="B4">
        <v>20420000</v>
      </c>
    </row>
    <row r="5" spans="1:2" x14ac:dyDescent="0.3">
      <c r="A5" s="12" t="s">
        <v>65</v>
      </c>
      <c r="B5">
        <v>23805000</v>
      </c>
    </row>
    <row r="6" spans="1:2" x14ac:dyDescent="0.3">
      <c r="A6" s="12" t="s">
        <v>66</v>
      </c>
      <c r="B6">
        <v>19610000</v>
      </c>
    </row>
    <row r="7" spans="1:2" x14ac:dyDescent="0.3">
      <c r="A7" s="12" t="s">
        <v>69</v>
      </c>
      <c r="B7">
        <v>63835000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ZWS</vt:lpstr>
      <vt:lpstr>MNWS</vt:lpstr>
      <vt:lpstr>CWS</vt:lpstr>
      <vt:lpstr>BWS</vt:lpstr>
      <vt:lpstr>PWS</vt:lpstr>
      <vt:lpstr>SMWS</vt:lpstr>
      <vt:lpstr>Data</vt:lpstr>
      <vt:lpstr>DASHBOARD</vt:lpstr>
      <vt:lpstr>MWS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priya.261796@outlook.com</dc:creator>
  <cp:lastModifiedBy>priya.261796@outlook.com</cp:lastModifiedBy>
  <dcterms:created xsi:type="dcterms:W3CDTF">2024-12-11T08:07:41Z</dcterms:created>
  <dcterms:modified xsi:type="dcterms:W3CDTF">2024-12-25T15:12:37Z</dcterms:modified>
</cp:coreProperties>
</file>